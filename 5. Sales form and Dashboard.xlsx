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cuments\my skill\mandiri\portofolio\"/>
    </mc:Choice>
  </mc:AlternateContent>
  <xr:revisionPtr revIDLastSave="0" documentId="13_ncr:2001_{50D6C44D-6A3B-473E-9D49-F0CD4252D887}" xr6:coauthVersionLast="47" xr6:coauthVersionMax="47" xr10:uidLastSave="{00000000-0000-0000-0000-000000000000}"/>
  <bookViews>
    <workbookView xWindow="-120" yWindow="-120" windowWidth="20730" windowHeight="11160" activeTab="2" xr2:uid="{820126D4-D312-468F-9BE7-CFA4478112CF}"/>
  </bookViews>
  <sheets>
    <sheet name="Sheet1" sheetId="1" r:id="rId1"/>
    <sheet name="pivot" sheetId="3" r:id="rId2"/>
    <sheet name="DASHBOARD" sheetId="2" r:id="rId3"/>
  </sheets>
  <definedNames>
    <definedName name="_xlcn.WorksheetConnection_5.SalesFormandDashboard.xlsxTable11" hidden="1">Table1[]</definedName>
    <definedName name="Slicer_KATEGORY">#N/A</definedName>
  </definedNames>
  <calcPr calcId="191029"/>
  <pivotCaches>
    <pivotCache cacheId="20" r:id="rId4"/>
    <pivotCache cacheId="9"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5. Sales Form and Dashboard.xlsx!Table1"/>
        </x15:modelTables>
      </x15:dataModel>
    </ext>
  </extLst>
</workbook>
</file>

<file path=xl/calcChain.xml><?xml version="1.0" encoding="utf-8"?>
<calcChain xmlns="http://schemas.openxmlformats.org/spreadsheetml/2006/main">
  <c r="H4" i="2" l="1"/>
  <c r="F4" i="2"/>
  <c r="C102" i="1"/>
  <c r="C42" i="1"/>
  <c r="C50" i="1"/>
  <c r="C49" i="1"/>
  <c r="C48" i="1"/>
  <c r="C47" i="1"/>
  <c r="C46" i="1"/>
  <c r="C45" i="1"/>
  <c r="C44" i="1"/>
  <c r="C43" i="1"/>
  <c r="C41" i="1"/>
  <c r="C40" i="1"/>
  <c r="C39" i="1"/>
  <c r="C38" i="1"/>
  <c r="C37" i="1"/>
  <c r="C36" i="1"/>
  <c r="C35" i="1"/>
  <c r="C34" i="1"/>
  <c r="C33" i="1"/>
  <c r="C32" i="1"/>
  <c r="C31" i="1"/>
  <c r="C30" i="1"/>
  <c r="C73" i="1"/>
  <c r="C72" i="1"/>
  <c r="C71" i="1"/>
  <c r="C70" i="1"/>
  <c r="C69" i="1"/>
  <c r="C68" i="1"/>
  <c r="C67" i="1"/>
  <c r="C66" i="1"/>
  <c r="C65" i="1"/>
  <c r="C64" i="1"/>
  <c r="C63" i="1"/>
  <c r="C62" i="1"/>
  <c r="C61" i="1"/>
  <c r="C60" i="1"/>
  <c r="C59" i="1"/>
  <c r="C58" i="1"/>
  <c r="C57" i="1"/>
  <c r="C56" i="1"/>
  <c r="C55" i="1"/>
  <c r="C54" i="1"/>
  <c r="C53" i="1"/>
  <c r="C52" i="1"/>
  <c r="C51" i="1"/>
  <c r="L13" i="1"/>
  <c r="I93" i="1"/>
  <c r="I94" i="1"/>
  <c r="I95" i="1"/>
  <c r="I96" i="1"/>
  <c r="I97" i="1"/>
  <c r="I98" i="1"/>
  <c r="I99" i="1"/>
  <c r="I100" i="1"/>
  <c r="I101" i="1"/>
  <c r="I102" i="1"/>
  <c r="I34" i="1"/>
  <c r="C93" i="1"/>
  <c r="C94" i="1"/>
  <c r="C95" i="1"/>
  <c r="C96" i="1"/>
  <c r="C97" i="1"/>
  <c r="C98" i="1"/>
  <c r="C99" i="1"/>
  <c r="C100" i="1"/>
  <c r="C101" i="1"/>
  <c r="I7" i="1"/>
  <c r="I8" i="1"/>
  <c r="I9" i="1"/>
  <c r="I10" i="1"/>
  <c r="I11" i="1"/>
  <c r="I12" i="1"/>
  <c r="I13" i="1"/>
  <c r="I14" i="1"/>
  <c r="I15" i="1"/>
  <c r="I16" i="1"/>
  <c r="I17" i="1"/>
  <c r="I18" i="1"/>
  <c r="I19" i="1"/>
  <c r="I20" i="1"/>
  <c r="I21" i="1"/>
  <c r="I22" i="1"/>
  <c r="I23" i="1"/>
  <c r="I24" i="1"/>
  <c r="I25" i="1"/>
  <c r="I26" i="1"/>
  <c r="I27" i="1"/>
  <c r="I28" i="1"/>
  <c r="I29" i="1"/>
  <c r="I30" i="1"/>
  <c r="I31" i="1"/>
  <c r="I32" i="1"/>
  <c r="I33"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6" i="1"/>
  <c r="C7" i="1"/>
  <c r="C8" i="1"/>
  <c r="C9" i="1"/>
  <c r="C10" i="1"/>
  <c r="C11" i="1"/>
  <c r="C12" i="1"/>
  <c r="C13" i="1"/>
  <c r="C14" i="1"/>
  <c r="C15" i="1"/>
  <c r="C16" i="1"/>
  <c r="C17" i="1"/>
  <c r="C18" i="1"/>
  <c r="C19" i="1"/>
  <c r="C20" i="1"/>
  <c r="C21" i="1"/>
  <c r="C22" i="1"/>
  <c r="C23" i="1"/>
  <c r="C24" i="1"/>
  <c r="C25" i="1"/>
  <c r="C26" i="1"/>
  <c r="C27" i="1"/>
  <c r="C28" i="1"/>
  <c r="C29" i="1"/>
  <c r="C74" i="1"/>
  <c r="C75" i="1"/>
  <c r="C76" i="1"/>
  <c r="C77" i="1"/>
  <c r="C78" i="1"/>
  <c r="C79" i="1"/>
  <c r="C80" i="1"/>
  <c r="C81" i="1"/>
  <c r="C82" i="1"/>
  <c r="C83" i="1"/>
  <c r="C84" i="1"/>
  <c r="C85" i="1"/>
  <c r="C86" i="1"/>
  <c r="C87" i="1"/>
  <c r="C88" i="1"/>
  <c r="C89" i="1"/>
  <c r="C90" i="1"/>
  <c r="C91" i="1"/>
  <c r="C92" i="1"/>
  <c r="C6" i="1"/>
  <c r="P13" i="1" l="1"/>
  <c r="P17" i="1" s="1"/>
  <c r="N13" i="1"/>
  <c r="O13" i="1"/>
  <c r="M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0F5DA-47F3-47F1-A218-71F5C8244F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22ADD24-6283-4852-BEB9-BB16CE646553}" name="WorksheetConnection_5. Sales Form and Dashboard.xlsx!Table1" type="102" refreshedVersion="8" minRefreshableVersion="5">
    <extLst>
      <ext xmlns:x15="http://schemas.microsoft.com/office/spreadsheetml/2010/11/main" uri="{DE250136-89BD-433C-8126-D09CA5730AF9}">
        <x15:connection id="Table1" autoDelete="1">
          <x15:rangePr sourceName="_xlcn.WorksheetConnection_5.SalesFormandDashboard.xlsxTable11"/>
        </x15:connection>
      </ext>
    </extLst>
  </connection>
</connections>
</file>

<file path=xl/sharedStrings.xml><?xml version="1.0" encoding="utf-8"?>
<sst xmlns="http://schemas.openxmlformats.org/spreadsheetml/2006/main" count="365" uniqueCount="98">
  <si>
    <t>TANGGAL</t>
  </si>
  <si>
    <t>QTY</t>
  </si>
  <si>
    <t>HARGA SATUAN</t>
  </si>
  <si>
    <t>TOTAL</t>
  </si>
  <si>
    <t xml:space="preserve"> NO INVOICE</t>
  </si>
  <si>
    <t>NAMA BARANG</t>
  </si>
  <si>
    <t xml:space="preserve">TOTAL PENJUALAN </t>
  </si>
  <si>
    <t>LAPORAN PENJUALAN - TOKO NADIA ELEKTRONIK</t>
  </si>
  <si>
    <t>PERIODE JANUARI 2025</t>
  </si>
  <si>
    <t>NAMA PELANGGAN</t>
  </si>
  <si>
    <t>KATEGORY</t>
  </si>
  <si>
    <t>Laptop Asus VivoBox</t>
  </si>
  <si>
    <t>Mouse Wireless Logitech</t>
  </si>
  <si>
    <t>Keyboard Mechanical</t>
  </si>
  <si>
    <t>Monitor LED 24 Inch</t>
  </si>
  <si>
    <t>Headset Gaming</t>
  </si>
  <si>
    <t>SSD External 500GB</t>
  </si>
  <si>
    <t>Webcam HD 1080p</t>
  </si>
  <si>
    <t>Speaker Bluetooth</t>
  </si>
  <si>
    <t>Flasdisk 64GB</t>
  </si>
  <si>
    <t>Andi Pratama</t>
  </si>
  <si>
    <t xml:space="preserve">Budi Santosa </t>
  </si>
  <si>
    <t xml:space="preserve">Maya Putri </t>
  </si>
  <si>
    <t xml:space="preserve">Kartika Sari </t>
  </si>
  <si>
    <t xml:space="preserve">Hilman Fauzi </t>
  </si>
  <si>
    <t xml:space="preserve">Galih Kusuma </t>
  </si>
  <si>
    <t xml:space="preserve">Firman Hidayat </t>
  </si>
  <si>
    <t>Bunga Mutiara Cahaya</t>
  </si>
  <si>
    <t xml:space="preserve">Indah Permatasari </t>
  </si>
  <si>
    <t>Kusuma Dwi Arimbi</t>
  </si>
  <si>
    <t>Eka Nur Ramadani</t>
  </si>
  <si>
    <t>Aksesoris</t>
  </si>
  <si>
    <t>Monitor</t>
  </si>
  <si>
    <t>Storage</t>
  </si>
  <si>
    <t>Laptop</t>
  </si>
  <si>
    <t>Power Bank 2000mAH</t>
  </si>
  <si>
    <t>Lukman Eka Wijaya</t>
  </si>
  <si>
    <t xml:space="preserve">Printer Canon </t>
  </si>
  <si>
    <t>Printer</t>
  </si>
  <si>
    <t xml:space="preserve">Tono Budiman </t>
  </si>
  <si>
    <t>Setya Nugroho</t>
  </si>
  <si>
    <t>Kabel HDMI 2m</t>
  </si>
  <si>
    <t>Doni Dwi Oktavian</t>
  </si>
  <si>
    <t>Mouse XL</t>
  </si>
  <si>
    <t xml:space="preserve">Indah Putri Permatasari </t>
  </si>
  <si>
    <t xml:space="preserve">USB Hub 4 Port </t>
  </si>
  <si>
    <t xml:space="preserve">Widya Diana Putri </t>
  </si>
  <si>
    <t>Coolig Pad Laptop</t>
  </si>
  <si>
    <t>Tika Rahma Izza</t>
  </si>
  <si>
    <t xml:space="preserve"> Bagus Eka Pratama</t>
  </si>
  <si>
    <t xml:space="preserve">Muhammad Dwi Cahyono </t>
  </si>
  <si>
    <t>Laptop Stand</t>
  </si>
  <si>
    <t>Putra Bagus Kusuma Bangsa</t>
  </si>
  <si>
    <t xml:space="preserve">Okta Indah Kusuma </t>
  </si>
  <si>
    <t xml:space="preserve">Cahaya Dwi Mulya </t>
  </si>
  <si>
    <t xml:space="preserve">Nadia Dwi Arianti </t>
  </si>
  <si>
    <t xml:space="preserve">Joko Aman Sentosa </t>
  </si>
  <si>
    <t>UPS APC 650VA</t>
  </si>
  <si>
    <t>Ira Naura</t>
  </si>
  <si>
    <t xml:space="preserve">Nanda Ika Julaina </t>
  </si>
  <si>
    <t xml:space="preserve">RAM DDR4 8GB </t>
  </si>
  <si>
    <t xml:space="preserve">Komponen </t>
  </si>
  <si>
    <t xml:space="preserve">Dewi Permata </t>
  </si>
  <si>
    <t xml:space="preserve">Indah Dwi Chayani </t>
  </si>
  <si>
    <t xml:space="preserve">Lukman Surya Hadi </t>
  </si>
  <si>
    <t>Lukman Bagus Prasetya</t>
  </si>
  <si>
    <t xml:space="preserve">Novita Anggraini </t>
  </si>
  <si>
    <t xml:space="preserve">Duta Akbar </t>
  </si>
  <si>
    <t xml:space="preserve">Dira Intan Nur Aini </t>
  </si>
  <si>
    <t>Yosep Santosa</t>
  </si>
  <si>
    <t>Naura Yahya</t>
  </si>
  <si>
    <t>Mousepad XL</t>
  </si>
  <si>
    <t>Fauzan Muhammad</t>
  </si>
  <si>
    <t xml:space="preserve">Amar Husaini </t>
  </si>
  <si>
    <t xml:space="preserve">Firman Aji </t>
  </si>
  <si>
    <t>Hard Disk 1TB</t>
  </si>
  <si>
    <t xml:space="preserve">Budi Haryanto </t>
  </si>
  <si>
    <t xml:space="preserve">Tika Ayu Dwi </t>
  </si>
  <si>
    <t xml:space="preserve">Putra Ahmad </t>
  </si>
  <si>
    <t xml:space="preserve">TOKO NADIA ELEKTRONIK </t>
  </si>
  <si>
    <t>PERIODE JAN 2025</t>
  </si>
  <si>
    <t>Nomor Inv</t>
  </si>
  <si>
    <t xml:space="preserve">Nama Barang </t>
  </si>
  <si>
    <t>No Invoice</t>
  </si>
  <si>
    <t xml:space="preserve">Qty </t>
  </si>
  <si>
    <t>Harga Satuan</t>
  </si>
  <si>
    <t xml:space="preserve">Total Penjualan </t>
  </si>
  <si>
    <t>INV/2026/0035</t>
  </si>
  <si>
    <t xml:space="preserve"> </t>
  </si>
  <si>
    <t>Row Labels</t>
  </si>
  <si>
    <t>Grand Total</t>
  </si>
  <si>
    <t>Sum of QTY</t>
  </si>
  <si>
    <t>Printer Canon</t>
  </si>
  <si>
    <t>RAM DDR4 8GB</t>
  </si>
  <si>
    <t>USB Hub 4 Port</t>
  </si>
  <si>
    <t>Sum of TOTAL PENJUALAN</t>
  </si>
  <si>
    <t xml:space="preserve">Sum of TOTAL PENJUALAN </t>
  </si>
  <si>
    <t>SALES DASBOARD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</si>
</sst>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quot;Rp&quot;* #,##0_-;\-&quot;Rp&quot;* #,##0_-;_-&quot;Rp&quot;* &quot;-&quot;_-;_-@_-"/>
  </numFmts>
  <fonts count="9" x14ac:knownFonts="1">
    <font>
      <sz val="11"/>
      <color theme="1"/>
      <name val="Calibri"/>
      <family val="2"/>
      <scheme val="minor"/>
    </font>
    <font>
      <b/>
      <sz val="11"/>
      <color theme="0"/>
      <name val="Calibri"/>
      <family val="2"/>
      <scheme val="minor"/>
    </font>
    <font>
      <sz val="11"/>
      <color theme="0"/>
      <name val="Calibri"/>
      <family val="2"/>
      <scheme val="minor"/>
    </font>
    <font>
      <b/>
      <sz val="16"/>
      <color theme="0"/>
      <name val="Times New Roman"/>
      <family val="1"/>
    </font>
    <font>
      <sz val="16"/>
      <color theme="0"/>
      <name val="Times New Roman"/>
      <family val="1"/>
    </font>
    <font>
      <b/>
      <sz val="11"/>
      <color theme="0"/>
      <name val="Times New Roman"/>
      <family val="1"/>
    </font>
    <font>
      <b/>
      <sz val="11"/>
      <color theme="1"/>
      <name val="Times New Roman"/>
      <family val="1"/>
    </font>
    <font>
      <b/>
      <sz val="20"/>
      <color theme="1"/>
      <name val="Calibri"/>
      <family val="2"/>
      <scheme val="minor"/>
    </font>
    <font>
      <sz val="20"/>
      <color theme="1"/>
      <name val="Calibri"/>
      <family val="2"/>
      <scheme val="minor"/>
    </font>
  </fonts>
  <fills count="6">
    <fill>
      <patternFill patternType="none"/>
    </fill>
    <fill>
      <patternFill patternType="gray125"/>
    </fill>
    <fill>
      <patternFill patternType="solid">
        <fgColor rgb="FF7030A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2" fillId="2" borderId="0" xfId="0" applyFont="1" applyFill="1"/>
    <xf numFmtId="0" fontId="5" fillId="2" borderId="0" xfId="0" applyFont="1" applyFill="1" applyAlignment="1">
      <alignment horizontal="centerContinuous"/>
    </xf>
    <xf numFmtId="0" fontId="2" fillId="2" borderId="0" xfId="0" applyFont="1" applyFill="1" applyAlignment="1">
      <alignment horizontal="centerContinuous"/>
    </xf>
    <xf numFmtId="42" fontId="0" fillId="0" borderId="0" xfId="0" applyNumberFormat="1"/>
    <xf numFmtId="11" fontId="0" fillId="0" borderId="0" xfId="0" applyNumberFormat="1"/>
    <xf numFmtId="42" fontId="2" fillId="2" borderId="0" xfId="0" applyNumberFormat="1" applyFont="1" applyFill="1" applyAlignment="1">
      <alignment horizontal="centerContinuous"/>
    </xf>
    <xf numFmtId="0" fontId="0" fillId="0" borderId="1" xfId="0" applyBorder="1"/>
    <xf numFmtId="42" fontId="0" fillId="0" borderId="1" xfId="0" applyNumberFormat="1" applyBorder="1"/>
    <xf numFmtId="11" fontId="0" fillId="0" borderId="1" xfId="0" applyNumberFormat="1" applyBorder="1"/>
    <xf numFmtId="0" fontId="0" fillId="0" borderId="1" xfId="0"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0" fillId="0" borderId="3" xfId="0" applyBorder="1"/>
    <xf numFmtId="42" fontId="0" fillId="0" borderId="3" xfId="0" applyNumberFormat="1" applyBorder="1"/>
    <xf numFmtId="42" fontId="2" fillId="2" borderId="1" xfId="0" applyNumberFormat="1" applyFont="1" applyFill="1" applyBorder="1"/>
    <xf numFmtId="14" fontId="0" fillId="0" borderId="6" xfId="0" applyNumberFormat="1" applyBorder="1"/>
    <xf numFmtId="42" fontId="0" fillId="0" borderId="4" xfId="0" applyNumberFormat="1" applyBorder="1"/>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42" fontId="1"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14" fontId="0" fillId="0" borderId="10" xfId="0" applyNumberFormat="1" applyBorder="1"/>
    <xf numFmtId="0" fontId="0" fillId="0" borderId="3" xfId="0" applyBorder="1" applyAlignment="1">
      <alignment horizontal="center"/>
    </xf>
    <xf numFmtId="42" fontId="0" fillId="0" borderId="11" xfId="0" applyNumberFormat="1" applyBorder="1"/>
    <xf numFmtId="11" fontId="0" fillId="3" borderId="0" xfId="0" applyNumberFormat="1" applyFill="1"/>
    <xf numFmtId="42" fontId="0" fillId="3" borderId="0" xfId="0" applyNumberFormat="1" applyFill="1"/>
    <xf numFmtId="0" fontId="0" fillId="0" borderId="0" xfId="0" pivotButton="1"/>
    <xf numFmtId="0" fontId="0" fillId="0" borderId="0" xfId="0" applyAlignment="1">
      <alignment horizontal="left"/>
    </xf>
    <xf numFmtId="0" fontId="0" fillId="0" borderId="0" xfId="0" applyAlignment="1">
      <alignment horizontal="center"/>
    </xf>
    <xf numFmtId="42" fontId="7" fillId="4" borderId="0" xfId="0" applyNumberFormat="1" applyFont="1" applyFill="1" applyAlignment="1">
      <alignment horizontal="left" vertical="top"/>
    </xf>
    <xf numFmtId="42" fontId="8" fillId="4" borderId="0" xfId="0" applyNumberFormat="1" applyFont="1" applyFill="1" applyAlignment="1">
      <alignment horizontal="left" vertical="top"/>
    </xf>
    <xf numFmtId="42" fontId="0" fillId="5" borderId="0" xfId="0" applyNumberFormat="1" applyFill="1"/>
    <xf numFmtId="0" fontId="3" fillId="2"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4" xfId="0" applyBorder="1"/>
    <xf numFmtId="0" fontId="0" fillId="0" borderId="5" xfId="0" applyBorder="1"/>
    <xf numFmtId="0" fontId="0" fillId="0" borderId="6" xfId="0" applyBorder="1"/>
    <xf numFmtId="0" fontId="0" fillId="0" borderId="0" xfId="0" applyNumberFormat="1"/>
    <xf numFmtId="0" fontId="8" fillId="4" borderId="0" xfId="0" applyNumberFormat="1" applyFont="1" applyFill="1" applyAlignment="1">
      <alignment horizontal="left" vertical="top"/>
    </xf>
    <xf numFmtId="42" fontId="0" fillId="4" borderId="0" xfId="0" applyNumberFormat="1" applyFill="1"/>
  </cellXfs>
  <cellStyles count="1">
    <cellStyle name="Normal" xfId="0" builtinId="0"/>
  </cellStyles>
  <dxfs count="22">
    <dxf>
      <alignment horizontal="center"/>
    </dxf>
    <dxf>
      <numFmt numFmtId="32" formatCode="_-&quot;Rp&quot;* #,##0_-;\-&quot;Rp&quot;* #,##0_-;_-&quot;Rp&quot;* &quot;-&quot;_-;_-@_-"/>
    </dxf>
    <dxf>
      <alignment horizontal="center"/>
    </dxf>
    <dxf>
      <numFmt numFmtId="32" formatCode="_-&quot;Rp&quot;* #,##0_-;\-&quot;Rp&quot;* #,##0_-;_-&quot;Rp&quot;* &quot;-&quot;_-;_-@_-"/>
    </dxf>
    <dxf>
      <alignment horizontal="center"/>
    </dxf>
    <dxf>
      <numFmt numFmtId="32" formatCode="_-&quot;Rp&quot;* #,##0_-;\-&quot;Rp&quot;* #,##0_-;_-&quot;Rp&quot;* &quot;-&quot;_-;_-@_-"/>
    </dxf>
    <dxf>
      <numFmt numFmtId="32" formatCode="_-&quot;Rp&quot;* #,##0_-;\-&quot;Rp&quot;* #,##0_-;_-&quot;Rp&quot;* &quot;-&quot;_-;_-@_-"/>
      <border diagonalUp="0" diagonalDown="0">
        <left style="thin">
          <color indexed="64"/>
        </left>
        <right/>
        <top style="thin">
          <color indexed="64"/>
        </top>
        <bottom style="thin">
          <color indexed="64"/>
        </bottom>
        <vertical/>
        <horizontal/>
      </border>
    </dxf>
    <dxf>
      <numFmt numFmtId="32" formatCode="_-&quot;Rp&quot;* #,##0_-;\-&quot;Rp&quot;* #,##0_-;_-&quot;Rp&quot;* &quot;-&quot;_-;_-@_-"/>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Timeline Style 1" pivot="0" table="0" count="9" xr9:uid="{87CD451C-82DA-4DE6-8398-9EF94A3F2284}">
      <tableStyleElement type="wholeTable" dxfId="21"/>
      <tableStyleElement type="headerRow" dxfId="20"/>
    </tableStyle>
    <tableStyle name="Timeline Style 2" pivot="0" table="0" count="8" xr9:uid="{88D5C3BD-D8F7-485D-8B06-F058D8EBF50A}">
      <tableStyleElement type="wholeTable" dxfId="19"/>
      <tableStyleElement type="headerRow" dxfId="18"/>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rgb="FF7030A0"/>
            <name val="Calibri"/>
            <family val="2"/>
            <scheme val="minor"/>
          </font>
        </dxf>
        <dxf>
          <font>
            <sz val="9"/>
            <color theme="1" tint="0.499984740745262"/>
          </font>
        </dxf>
        <dxf>
          <font>
            <sz val="10"/>
            <color theme="1" tint="0.499984740745262"/>
          </font>
        </dxf>
        <dxf>
          <fill>
            <patternFill>
              <bgColor rgb="FF7030A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[5(AutoRecovered).xlsx]pivot!PivotTable3</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2"/>
            </a:solidFill>
            <a:ln>
              <a:noFill/>
            </a:ln>
            <a:effectLst/>
          </c:spPr>
          <c:invertIfNegative val="0"/>
          <c:cat>
            <c:strRef>
              <c:f>pivot!$G$4:$G$5</c:f>
              <c:strCache>
                <c:ptCount val="1"/>
                <c:pt idx="0">
                  <c:v>Komponen </c:v>
                </c:pt>
              </c:strCache>
            </c:strRef>
          </c:cat>
          <c:val>
            <c:numRef>
              <c:f>pivot!$H$4:$H$5</c:f>
              <c:numCache>
                <c:formatCode>_("Rp"* #,##0_);_("Rp"* \(#,##0\);_("Rp"* "-"_);_(@_)</c:formatCode>
                <c:ptCount val="1"/>
                <c:pt idx="0">
                  <c:v>5400000</c:v>
                </c:pt>
              </c:numCache>
            </c:numRef>
          </c:val>
          <c:extLst>
            <c:ext xmlns:c16="http://schemas.microsoft.com/office/drawing/2014/chart" uri="{C3380CC4-5D6E-409C-BE32-E72D297353CC}">
              <c16:uniqueId val="{00000000-CEC4-40F8-A6BD-DF1BF3662BD2}"/>
            </c:ext>
          </c:extLst>
        </c:ser>
        <c:dLbls>
          <c:showLegendKey val="0"/>
          <c:showVal val="0"/>
          <c:showCatName val="0"/>
          <c:showSerName val="0"/>
          <c:showPercent val="0"/>
          <c:showBubbleSize val="0"/>
        </c:dLbls>
        <c:gapWidth val="219"/>
        <c:overlap val="-27"/>
        <c:axId val="608498880"/>
        <c:axId val="608518560"/>
      </c:barChart>
      <c:catAx>
        <c:axId val="60849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18560"/>
        <c:crosses val="autoZero"/>
        <c:auto val="1"/>
        <c:lblAlgn val="ctr"/>
        <c:lblOffset val="100"/>
        <c:noMultiLvlLbl val="0"/>
      </c:catAx>
      <c:valAx>
        <c:axId val="608518560"/>
        <c:scaling>
          <c:orientation val="minMax"/>
        </c:scaling>
        <c:delete val="0"/>
        <c:axPos val="l"/>
        <c:numFmt formatCode="_(&quot;Rp&quot;* #,##0_);_(&quot;Rp&quot;* \(#,##0\);_(&quot;Rp&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9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[5(AutoRecovered).xlsx]pivot!PivotTable3</c:name>
    <c:fmtId val="24"/>
  </c:pivotSource>
  <c:chart>
    <c:autoTitleDeleted val="1"/>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28575" cap="rnd">
              <a:solidFill>
                <a:schemeClr val="accent4"/>
              </a:solidFill>
              <a:round/>
            </a:ln>
            <a:effectLst/>
          </c:spPr>
          <c:marker>
            <c:symbol val="none"/>
          </c:marker>
          <c:cat>
            <c:strRef>
              <c:f>pivot!$G$4:$G$5</c:f>
              <c:strCache>
                <c:ptCount val="1"/>
                <c:pt idx="0">
                  <c:v>Komponen </c:v>
                </c:pt>
              </c:strCache>
            </c:strRef>
          </c:cat>
          <c:val>
            <c:numRef>
              <c:f>pivot!$H$4:$H$5</c:f>
              <c:numCache>
                <c:formatCode>_("Rp"* #,##0_);_("Rp"* \(#,##0\);_("Rp"* "-"_);_(@_)</c:formatCode>
                <c:ptCount val="1"/>
                <c:pt idx="0">
                  <c:v>5400000</c:v>
                </c:pt>
              </c:numCache>
            </c:numRef>
          </c:val>
          <c:smooth val="0"/>
          <c:extLst>
            <c:ext xmlns:c16="http://schemas.microsoft.com/office/drawing/2014/chart" uri="{C3380CC4-5D6E-409C-BE32-E72D297353CC}">
              <c16:uniqueId val="{00000000-4ADB-4006-AA02-E970BD04A561}"/>
            </c:ext>
          </c:extLst>
        </c:ser>
        <c:dLbls>
          <c:showLegendKey val="0"/>
          <c:showVal val="0"/>
          <c:showCatName val="0"/>
          <c:showSerName val="0"/>
          <c:showPercent val="0"/>
          <c:showBubbleSize val="0"/>
        </c:dLbls>
        <c:smooth val="0"/>
        <c:axId val="1326041472"/>
        <c:axId val="1326026112"/>
      </c:lineChart>
      <c:catAx>
        <c:axId val="132604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26112"/>
        <c:crosses val="autoZero"/>
        <c:auto val="1"/>
        <c:lblAlgn val="ctr"/>
        <c:lblOffset val="100"/>
        <c:noMultiLvlLbl val="0"/>
      </c:catAx>
      <c:valAx>
        <c:axId val="1326026112"/>
        <c:scaling>
          <c:orientation val="minMax"/>
        </c:scaling>
        <c:delete val="1"/>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out"/>
        <c:minorTickMark val="none"/>
        <c:tickLblPos val="nextTo"/>
        <c:crossAx val="132604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[5(AutoRecovered).xlsx]pivot!PivotTable3</c:name>
    <c:fmtId val="3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0000"/>
            </a:schemeClr>
          </a:solidFill>
          <a:ln w="19050">
            <a:solidFill>
              <a:schemeClr val="lt1"/>
            </a:solidFill>
          </a:ln>
          <a:effectLst/>
        </c:spPr>
      </c:pivotFmt>
      <c:pivotFmt>
        <c:idx val="3"/>
        <c:spPr>
          <a:solidFill>
            <a:schemeClr val="accent2">
              <a:shade val="70000"/>
            </a:schemeClr>
          </a:solidFill>
          <a:ln w="19050">
            <a:solidFill>
              <a:schemeClr val="lt1"/>
            </a:solidFill>
          </a:ln>
          <a:effectLst/>
        </c:spPr>
      </c:pivotFmt>
      <c:pivotFmt>
        <c:idx val="4"/>
        <c:spPr>
          <a:solidFill>
            <a:schemeClr val="accent2">
              <a:shade val="90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tint val="70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hade val="50000"/>
            </a:schemeClr>
          </a:solidFill>
          <a:ln w="19050">
            <a:solidFill>
              <a:schemeClr val="lt1"/>
            </a:solidFill>
          </a:ln>
          <a:effectLst/>
        </c:spPr>
      </c:pivotFmt>
      <c:pivotFmt>
        <c:idx val="10"/>
        <c:spPr>
          <a:solidFill>
            <a:schemeClr val="accent2">
              <a:shade val="70000"/>
            </a:schemeClr>
          </a:solidFill>
          <a:ln w="19050">
            <a:solidFill>
              <a:schemeClr val="lt1"/>
            </a:solidFill>
          </a:ln>
          <a:effectLst/>
        </c:spPr>
      </c:pivotFmt>
      <c:pivotFmt>
        <c:idx val="11"/>
        <c:spPr>
          <a:solidFill>
            <a:schemeClr val="accent2">
              <a:shade val="90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tint val="70000"/>
            </a:schemeClr>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9556005866913693"/>
          <c:y val="0.13143301975968902"/>
          <c:w val="0.39505686789151356"/>
          <c:h val="0.65842811315252259"/>
        </c:manualLayout>
      </c:layout>
      <c:doughnutChart>
        <c:varyColors val="1"/>
        <c:ser>
          <c:idx val="0"/>
          <c:order val="0"/>
          <c:tx>
            <c:strRef>
              <c:f>pivot!$H$3</c:f>
              <c:strCache>
                <c:ptCount val="1"/>
                <c:pt idx="0">
                  <c:v>Total</c:v>
                </c:pt>
              </c:strCache>
            </c:strRef>
          </c:tx>
          <c:explosion val="6"/>
          <c:dPt>
            <c:idx val="0"/>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1-A7D5-4F7A-B8C7-2FE0F67AA4B2}"/>
              </c:ext>
            </c:extLst>
          </c:dPt>
          <c:dPt>
            <c:idx val="1"/>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3-A7D5-4F7A-B8C7-2FE0F67AA4B2}"/>
              </c:ext>
            </c:extLst>
          </c:dPt>
          <c:dPt>
            <c:idx val="2"/>
            <c:bubble3D val="0"/>
            <c:spPr>
              <a:solidFill>
                <a:schemeClr val="accent2">
                  <a:tint val="60000"/>
                </a:schemeClr>
              </a:solidFill>
              <a:ln w="19050">
                <a:solidFill>
                  <a:schemeClr val="lt1"/>
                </a:solidFill>
              </a:ln>
              <a:effectLst/>
            </c:spPr>
            <c:extLst>
              <c:ext xmlns:c16="http://schemas.microsoft.com/office/drawing/2014/chart" uri="{C3380CC4-5D6E-409C-BE32-E72D297353CC}">
                <c16:uniqueId val="{00000005-A7D5-4F7A-B8C7-2FE0F67AA4B2}"/>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A7D5-4F7A-B8C7-2FE0F67AA4B2}"/>
              </c:ext>
            </c:extLst>
          </c:dPt>
          <c:dPt>
            <c:idx val="4"/>
            <c:bubble3D val="0"/>
            <c:spPr>
              <a:solidFill>
                <a:schemeClr val="accent2">
                  <a:tint val="20000"/>
                </a:schemeClr>
              </a:solidFill>
              <a:ln w="19050">
                <a:solidFill>
                  <a:schemeClr val="lt1"/>
                </a:solidFill>
              </a:ln>
              <a:effectLst/>
            </c:spPr>
            <c:extLst>
              <c:ext xmlns:c16="http://schemas.microsoft.com/office/drawing/2014/chart" uri="{C3380CC4-5D6E-409C-BE32-E72D297353CC}">
                <c16:uniqueId val="{00000009-A7D5-4F7A-B8C7-2FE0F67AA4B2}"/>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A7D5-4F7A-B8C7-2FE0F67AA4B2}"/>
              </c:ext>
            </c:extLst>
          </c:dPt>
          <c:cat>
            <c:strRef>
              <c:f>pivot!$G$4:$G$5</c:f>
              <c:strCache>
                <c:ptCount val="1"/>
                <c:pt idx="0">
                  <c:v>Komponen </c:v>
                </c:pt>
              </c:strCache>
            </c:strRef>
          </c:cat>
          <c:val>
            <c:numRef>
              <c:f>pivot!$H$4:$H$5</c:f>
              <c:numCache>
                <c:formatCode>_("Rp"* #,##0_);_("Rp"* \(#,##0\);_("Rp"* "-"_);_(@_)</c:formatCode>
                <c:ptCount val="1"/>
                <c:pt idx="0">
                  <c:v>5400000</c:v>
                </c:pt>
              </c:numCache>
            </c:numRef>
          </c:val>
          <c:extLst>
            <c:ext xmlns:c16="http://schemas.microsoft.com/office/drawing/2014/chart" uri="{C3380CC4-5D6E-409C-BE32-E72D297353CC}">
              <c16:uniqueId val="{0000000C-A7D5-4F7A-B8C7-2FE0F67AA4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7098140857392827"/>
          <c:y val="0.74948782443861184"/>
          <c:w val="0.64846303587051624"/>
          <c:h val="0.240744021580635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485775</xdr:colOff>
      <xdr:row>1</xdr:row>
      <xdr:rowOff>171450</xdr:rowOff>
    </xdr:from>
    <xdr:to>
      <xdr:col>6</xdr:col>
      <xdr:colOff>438150</xdr:colOff>
      <xdr:row>2</xdr:row>
      <xdr:rowOff>262759</xdr:rowOff>
    </xdr:to>
    <xdr:sp macro="" textlink="">
      <xdr:nvSpPr>
        <xdr:cNvPr id="3" name="Rectangle: Rounded Corners 2">
          <a:extLst>
            <a:ext uri="{FF2B5EF4-FFF2-40B4-BE49-F238E27FC236}">
              <a16:creationId xmlns:a16="http://schemas.microsoft.com/office/drawing/2014/main" id="{815517EF-B6A0-8A95-4880-42D52B5AA7DC}"/>
            </a:ext>
          </a:extLst>
        </xdr:cNvPr>
        <xdr:cNvSpPr/>
      </xdr:nvSpPr>
      <xdr:spPr>
        <a:xfrm>
          <a:off x="2938189" y="357571"/>
          <a:ext cx="1507030" cy="2774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chemeClr val="tx1"/>
              </a:solidFill>
            </a:rPr>
            <a:t>Produk</a:t>
          </a:r>
          <a:r>
            <a:rPr lang="en-ID" sz="1100" baseline="0">
              <a:solidFill>
                <a:schemeClr val="tx1"/>
              </a:solidFill>
            </a:rPr>
            <a:t> Terjual</a:t>
          </a:r>
          <a:endParaRPr lang="en-ID" sz="1100">
            <a:solidFill>
              <a:schemeClr val="tx1"/>
            </a:solidFill>
          </a:endParaRPr>
        </a:p>
      </xdr:txBody>
    </xdr:sp>
    <xdr:clientData/>
  </xdr:twoCellAnchor>
  <xdr:twoCellAnchor>
    <xdr:from>
      <xdr:col>6</xdr:col>
      <xdr:colOff>485777</xdr:colOff>
      <xdr:row>1</xdr:row>
      <xdr:rowOff>161925</xdr:rowOff>
    </xdr:from>
    <xdr:to>
      <xdr:col>7</xdr:col>
      <xdr:colOff>963450</xdr:colOff>
      <xdr:row>2</xdr:row>
      <xdr:rowOff>284657</xdr:rowOff>
    </xdr:to>
    <xdr:sp macro="" textlink="">
      <xdr:nvSpPr>
        <xdr:cNvPr id="4" name="Rectangle: Rounded Corners 3">
          <a:extLst>
            <a:ext uri="{FF2B5EF4-FFF2-40B4-BE49-F238E27FC236}">
              <a16:creationId xmlns:a16="http://schemas.microsoft.com/office/drawing/2014/main" id="{1B69D8D3-1490-C7A6-2B8F-103D29329D10}"/>
            </a:ext>
          </a:extLst>
        </xdr:cNvPr>
        <xdr:cNvSpPr/>
      </xdr:nvSpPr>
      <xdr:spPr>
        <a:xfrm>
          <a:off x="4492846" y="348046"/>
          <a:ext cx="1090776" cy="30885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chemeClr val="tx1"/>
              </a:solidFill>
            </a:rPr>
            <a:t>Pendapatan</a:t>
          </a:r>
        </a:p>
      </xdr:txBody>
    </xdr:sp>
    <xdr:clientData/>
  </xdr:twoCellAnchor>
  <xdr:twoCellAnchor editAs="oneCell">
    <xdr:from>
      <xdr:col>1</xdr:col>
      <xdr:colOff>28575</xdr:colOff>
      <xdr:row>4</xdr:row>
      <xdr:rowOff>66674</xdr:rowOff>
    </xdr:from>
    <xdr:to>
      <xdr:col>3</xdr:col>
      <xdr:colOff>361950</xdr:colOff>
      <xdr:row>17</xdr:row>
      <xdr:rowOff>76200</xdr:rowOff>
    </xdr:to>
    <mc:AlternateContent xmlns:mc="http://schemas.openxmlformats.org/markup-compatibility/2006" xmlns:a14="http://schemas.microsoft.com/office/drawing/2010/main">
      <mc:Choice Requires="a14">
        <xdr:graphicFrame macro="">
          <xdr:nvGraphicFramePr>
            <xdr:cNvPr id="5" name="KATEGORY">
              <a:extLst>
                <a:ext uri="{FF2B5EF4-FFF2-40B4-BE49-F238E27FC236}">
                  <a16:creationId xmlns:a16="http://schemas.microsoft.com/office/drawing/2014/main" id="{FC217BD8-2D27-42A3-8A06-97AD8A5384D4}"/>
                </a:ext>
              </a:extLst>
            </xdr:cNvPr>
            <xdr:cNvGraphicFramePr/>
          </xdr:nvGraphicFramePr>
          <xdr:xfrm>
            <a:off x="0" y="0"/>
            <a:ext cx="0" cy="0"/>
          </xdr:xfrm>
          <a:graphic>
            <a:graphicData uri="http://schemas.microsoft.com/office/drawing/2010/slicer">
              <sle:slicer xmlns:sle="http://schemas.microsoft.com/office/drawing/2010/slicer" name="KATEGORY"/>
            </a:graphicData>
          </a:graphic>
        </xdr:graphicFrame>
      </mc:Choice>
      <mc:Fallback xmlns="">
        <xdr:sp macro="" textlink="">
          <xdr:nvSpPr>
            <xdr:cNvPr id="0" name=""/>
            <xdr:cNvSpPr>
              <a:spLocks noTextEdit="1"/>
            </xdr:cNvSpPr>
          </xdr:nvSpPr>
          <xdr:spPr>
            <a:xfrm>
              <a:off x="641678" y="1095812"/>
              <a:ext cx="1559582" cy="24290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509094</xdr:colOff>
      <xdr:row>4</xdr:row>
      <xdr:rowOff>87147</xdr:rowOff>
    </xdr:from>
    <xdr:to>
      <xdr:col>8</xdr:col>
      <xdr:colOff>385269</xdr:colOff>
      <xdr:row>17</xdr:row>
      <xdr:rowOff>115722</xdr:rowOff>
    </xdr:to>
    <xdr:graphicFrame macro="">
      <xdr:nvGraphicFramePr>
        <xdr:cNvPr id="8" name="Chart 7">
          <a:extLst>
            <a:ext uri="{FF2B5EF4-FFF2-40B4-BE49-F238E27FC236}">
              <a16:creationId xmlns:a16="http://schemas.microsoft.com/office/drawing/2014/main" id="{B41794BE-3ED6-4CCE-B8B9-4141E0589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573361</xdr:colOff>
      <xdr:row>4</xdr:row>
      <xdr:rowOff>91417</xdr:rowOff>
    </xdr:from>
    <xdr:to>
      <xdr:col>13</xdr:col>
      <xdr:colOff>230461</xdr:colOff>
      <xdr:row>17</xdr:row>
      <xdr:rowOff>139042</xdr:rowOff>
    </xdr:to>
    <xdr:graphicFrame macro="">
      <xdr:nvGraphicFramePr>
        <xdr:cNvPr id="9" name="Chart 8">
          <a:extLst>
            <a:ext uri="{FF2B5EF4-FFF2-40B4-BE49-F238E27FC236}">
              <a16:creationId xmlns:a16="http://schemas.microsoft.com/office/drawing/2014/main" id="{7A54F4C3-C4B0-44D6-BE8E-54F318C2B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433771</xdr:colOff>
      <xdr:row>4</xdr:row>
      <xdr:rowOff>73791</xdr:rowOff>
    </xdr:from>
    <xdr:to>
      <xdr:col>17</xdr:col>
      <xdr:colOff>586171</xdr:colOff>
      <xdr:row>17</xdr:row>
      <xdr:rowOff>153276</xdr:rowOff>
    </xdr:to>
    <xdr:graphicFrame macro="">
      <xdr:nvGraphicFramePr>
        <xdr:cNvPr id="10" name="Chart 9">
          <a:extLst>
            <a:ext uri="{FF2B5EF4-FFF2-40B4-BE49-F238E27FC236}">
              <a16:creationId xmlns:a16="http://schemas.microsoft.com/office/drawing/2014/main" id="{5E99BCA9-4D6B-4BA9-927B-DAC9ACA34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0.605096180552" createdVersion="8" refreshedVersion="8" minRefreshableVersion="3" recordCount="97" xr:uid="{C15570BE-E130-43BF-BCC8-7AE58E50D0D9}">
  <cacheSource type="worksheet">
    <worksheetSource name="Table1"/>
  </cacheSource>
  <cacheFields count="8">
    <cacheField name="TANGGAL" numFmtId="14">
      <sharedItems containsSemiMixedTypes="0" containsNonDate="0" containsDate="1" containsString="0" minDate="2025-01-01T00:00:00" maxDate="2025-10-11T00:00:00" count="32">
        <d v="2025-01-01T00:00:00"/>
        <d v="2025-01-02T00:00:00"/>
        <d v="2025-01-03T00:00:00"/>
        <d v="2025-01-04T00:00:00"/>
        <d v="2025-01-05T00:00:00"/>
        <d v="2025-01-06T00:00:00"/>
        <d v="2025-01-07T00:00:00"/>
        <d v="2025-01-08T00:00:00"/>
        <d v="2025-01-09T00:00:00"/>
        <d v="2025-01-10T00:00:00"/>
        <d v="2025-10-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 NO INVOICE" numFmtId="0">
      <sharedItems/>
    </cacheField>
    <cacheField name="NAMA PELANGGAN" numFmtId="0">
      <sharedItems/>
    </cacheField>
    <cacheField name="NAMA BARANG" numFmtId="0">
      <sharedItems count="20">
        <s v="Laptop Asus VivoBox"/>
        <s v="Mouse Wireless Logitech"/>
        <s v="Keyboard Mechanical"/>
        <s v="Monitor LED 24 Inch"/>
        <s v="Headset Gaming"/>
        <s v="SSD External 500GB"/>
        <s v="Webcam HD 1080p"/>
        <s v="Speaker Bluetooth"/>
        <s v="Flasdisk 64GB"/>
        <s v="Power Bank 2000mAH"/>
        <s v="Printer Canon "/>
        <s v="Kabel HDMI 2m"/>
        <s v="Mouse XL"/>
        <s v="USB Hub 4 Port "/>
        <s v="Coolig Pad Laptop"/>
        <s v="Laptop Stand"/>
        <s v="UPS APC 650VA"/>
        <s v="RAM DDR4 8GB "/>
        <s v="Mousepad XL"/>
        <s v="Hard Disk 1TB"/>
      </sharedItems>
    </cacheField>
    <cacheField name="KATEGORY" numFmtId="0">
      <sharedItems count="6">
        <s v="Laptop"/>
        <s v="Aksesoris"/>
        <s v="Monitor"/>
        <s v="Storage"/>
        <s v="Printer"/>
        <s v="Komponen "/>
      </sharedItems>
    </cacheField>
    <cacheField name="QTY" numFmtId="0">
      <sharedItems containsSemiMixedTypes="0" containsString="0" containsNumber="1" containsInteger="1" minValue="1" maxValue="9"/>
    </cacheField>
    <cacheField name="HARGA SATUAN" numFmtId="42">
      <sharedItems containsSemiMixedTypes="0" containsString="0" containsNumber="1" containsInteger="1" minValue="140000" maxValue="8200000"/>
    </cacheField>
    <cacheField name="TOTAL PENJUALAN " numFmtId="42">
      <sharedItems containsSemiMixedTypes="0" containsString="0" containsNumber="1" containsInteger="1" minValue="180000" maxValue="8200000"/>
    </cacheField>
  </cacheFields>
  <extLst>
    <ext xmlns:x14="http://schemas.microsoft.com/office/spreadsheetml/2009/9/main" uri="{725AE2AE-9491-48be-B2B4-4EB974FC3084}">
      <x14:pivotCacheDefinition pivotCacheId="9423689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0.605904050928" backgroundQuery="1" createdVersion="8" refreshedVersion="8" minRefreshableVersion="3" recordCount="0" supportSubquery="1" supportAdvancedDrill="1" xr:uid="{FF8B60A9-B6C8-4445-A819-1452E2D69E69}">
  <cacheSource type="external" connectionId="1"/>
  <cacheFields count="2">
    <cacheField name="[Table1].[NAMA BARANG].[NAMA BARANG]" caption="NAMA BARANG" numFmtId="0" hierarchy="3" level="1">
      <sharedItems count="20">
        <s v="Coolig Pad Laptop"/>
        <s v="Flasdisk 64GB"/>
        <s v="Hard Disk 1TB"/>
        <s v="Headset Gaming"/>
        <s v="Kabel HDMI 2m"/>
        <s v="Keyboard Mechanical"/>
        <s v="Laptop Asus VivoBox"/>
        <s v="Laptop Stand"/>
        <s v="Monitor LED 24 Inch"/>
        <s v="Mouse Wireless Logitech"/>
        <s v="Mouse XL"/>
        <s v="Mousepad XL"/>
        <s v="Power Bank 2000mAH"/>
        <s v="Printer Canon"/>
        <s v="RAM DDR4 8GB"/>
        <s v="Speaker Bluetooth"/>
        <s v="SSD External 500GB"/>
        <s v="UPS APC 650VA"/>
        <s v="USB Hub 4 Port"/>
        <s v="Webcam HD 1080p"/>
      </sharedItems>
    </cacheField>
    <cacheField name="[Measures].[Sum of TOTAL PENJUALAN]" caption="Sum of TOTAL PENJUALAN" numFmtId="0" hierarchy="10" level="32767"/>
  </cacheFields>
  <cacheHierarchies count="12">
    <cacheHierarchy uniqueName="[Table1].[TANGGAL]" caption="TANGGAL" attribute="1" time="1" defaultMemberUniqueName="[Table1].[TANGGAL].[All]" allUniqueName="[Table1].[TANGGAL].[All]" dimensionUniqueName="[Table1]" displayFolder="" count="0" memberValueDatatype="7" unbalanced="0"/>
    <cacheHierarchy uniqueName="[Table1].[NO INVOICE]" caption="NO INVOICE" attribute="1" defaultMemberUniqueName="[Table1].[NO INVOICE].[All]" allUniqueName="[Table1].[NO INVOICE].[All]" dimensionUniqueName="[Table1]" displayFolder="" count="0" memberValueDatatype="130" unbalanced="0"/>
    <cacheHierarchy uniqueName="[Table1].[NAMA PELANGGAN]" caption="NAMA PELANGGAN" attribute="1" defaultMemberUniqueName="[Table1].[NAMA PELANGGAN].[All]" allUniqueName="[Table1].[NAMA PELANGGAN].[All]" dimensionUniqueName="[Table1]" displayFolder="" count="0" memberValueDatatype="130" unbalanced="0"/>
    <cacheHierarchy uniqueName="[Table1].[NAMA BARANG]" caption="NAMA BARANG" attribute="1" defaultMemberUniqueName="[Table1].[NAMA BARANG].[All]" allUniqueName="[Table1].[NAMA BARANG].[All]" dimensionUniqueName="[Table1]" displayFolder="" count="2" memberValueDatatype="130" unbalanced="0">
      <fieldsUsage count="2">
        <fieldUsage x="-1"/>
        <fieldUsage x="0"/>
      </fieldsUsage>
    </cacheHierarchy>
    <cacheHierarchy uniqueName="[Table1].[KATEGORY]" caption="KATEGORY" attribute="1" defaultMemberUniqueName="[Table1].[KATEGORY].[All]" allUniqueName="[Table1].[KATEGORY].[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HARGA SATUAN]" caption="HARGA SATUAN" attribute="1" defaultMemberUniqueName="[Table1].[HARGA SATUAN].[All]" allUniqueName="[Table1].[HARGA SATUAN].[All]" dimensionUniqueName="[Table1]" displayFolder="" count="0" memberValueDatatype="20" unbalanced="0"/>
    <cacheHierarchy uniqueName="[Table1].[TOTAL PENJUALAN]" caption="TOTAL PENJUALAN" attribute="1" defaultMemberUniqueName="[Table1].[TOTAL PENJUALAN].[All]" allUniqueName="[Table1].[TOTAL PENJUALAN].[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PENJUALAN]" caption="Sum of TOTAL PENJUALAN"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s v="INV/2026/0001"/>
    <s v="Andi Pratama"/>
    <x v="0"/>
    <x v="0"/>
    <n v="1"/>
    <n v="8200000"/>
    <n v="8200000"/>
  </r>
  <r>
    <x v="0"/>
    <s v="INV/2026/0002"/>
    <s v="Budi Santosa "/>
    <x v="1"/>
    <x v="1"/>
    <n v="2"/>
    <n v="280000"/>
    <n v="560000"/>
  </r>
  <r>
    <x v="0"/>
    <s v="INV/2026/0003"/>
    <s v="Maya Putri "/>
    <x v="2"/>
    <x v="1"/>
    <n v="1"/>
    <n v="650000"/>
    <n v="650000"/>
  </r>
  <r>
    <x v="1"/>
    <s v="INV/2026/0004"/>
    <s v="Kartika Sari "/>
    <x v="3"/>
    <x v="2"/>
    <n v="2"/>
    <n v="2500000"/>
    <n v="5000000"/>
  </r>
  <r>
    <x v="1"/>
    <s v="INV/2026/0005"/>
    <s v="Hilman Fauzi "/>
    <x v="4"/>
    <x v="1"/>
    <n v="1"/>
    <n v="550000"/>
    <n v="550000"/>
  </r>
  <r>
    <x v="2"/>
    <s v="INV/2026/0006"/>
    <s v="Galih Kusuma "/>
    <x v="5"/>
    <x v="3"/>
    <n v="3"/>
    <n v="950000"/>
    <n v="2850000"/>
  </r>
  <r>
    <x v="2"/>
    <s v="INV/2026/0007"/>
    <s v="Firman Hidayat "/>
    <x v="6"/>
    <x v="1"/>
    <n v="1"/>
    <n v="450000"/>
    <n v="450000"/>
  </r>
  <r>
    <x v="2"/>
    <s v="INV/2026/0008"/>
    <s v="Bunga Mutiara Cahaya"/>
    <x v="7"/>
    <x v="1"/>
    <n v="2"/>
    <n v="380000"/>
    <n v="760000"/>
  </r>
  <r>
    <x v="2"/>
    <s v="INV/2026/0009"/>
    <s v="Indah Permatasari "/>
    <x v="0"/>
    <x v="0"/>
    <n v="1"/>
    <n v="8200000"/>
    <n v="8200000"/>
  </r>
  <r>
    <x v="3"/>
    <s v="INV/2026/0010"/>
    <s v="Kusuma Dwi Arimbi"/>
    <x v="8"/>
    <x v="3"/>
    <n v="5"/>
    <n v="150000"/>
    <n v="750000"/>
  </r>
  <r>
    <x v="3"/>
    <s v="INV/2026/0011"/>
    <s v="Eka Nur Ramadani"/>
    <x v="9"/>
    <x v="1"/>
    <n v="2"/>
    <n v="580000"/>
    <n v="1160000"/>
  </r>
  <r>
    <x v="4"/>
    <s v="INV/2026/0012"/>
    <s v="Galih Kusuma "/>
    <x v="2"/>
    <x v="1"/>
    <n v="1"/>
    <n v="1500000"/>
    <n v="1500000"/>
  </r>
  <r>
    <x v="4"/>
    <s v="INV/2026/0013"/>
    <s v="Lukman Eka Wijaya"/>
    <x v="10"/>
    <x v="4"/>
    <n v="5"/>
    <n v="1500000"/>
    <n v="7500000"/>
  </r>
  <r>
    <x v="5"/>
    <s v="INV/2026/0014"/>
    <s v="Tono Budiman "/>
    <x v="6"/>
    <x v="1"/>
    <n v="2"/>
    <n v="450000"/>
    <n v="900000"/>
  </r>
  <r>
    <x v="6"/>
    <s v="INV/2026/0015"/>
    <s v="Setya Nugroho"/>
    <x v="11"/>
    <x v="1"/>
    <n v="4"/>
    <n v="140000"/>
    <n v="560000"/>
  </r>
  <r>
    <x v="6"/>
    <s v="INV/2026/0016"/>
    <s v="Doni Dwi Oktavian"/>
    <x v="12"/>
    <x v="1"/>
    <n v="2"/>
    <n v="300000"/>
    <n v="600000"/>
  </r>
  <r>
    <x v="7"/>
    <s v="INV/2026/0017"/>
    <s v="Indah Putri Permatasari "/>
    <x v="13"/>
    <x v="1"/>
    <n v="4"/>
    <n v="220000"/>
    <n v="880000"/>
  </r>
  <r>
    <x v="7"/>
    <s v="INV/2026/0018"/>
    <s v="Widya Diana Putri "/>
    <x v="14"/>
    <x v="1"/>
    <n v="1"/>
    <n v="280000"/>
    <n v="280000"/>
  </r>
  <r>
    <x v="7"/>
    <s v="INV/2026/0019"/>
    <s v="Tika Rahma Izza"/>
    <x v="2"/>
    <x v="1"/>
    <n v="1"/>
    <n v="650000"/>
    <n v="650000"/>
  </r>
  <r>
    <x v="7"/>
    <s v="INV/2026/0020"/>
    <s v=" Bagus Eka Pratama"/>
    <x v="6"/>
    <x v="1"/>
    <n v="5"/>
    <n v="450000"/>
    <n v="2250000"/>
  </r>
  <r>
    <x v="8"/>
    <s v="INV/2026/0021"/>
    <s v="Muhammad Dwi Cahyono "/>
    <x v="15"/>
    <x v="1"/>
    <n v="2"/>
    <n v="300000"/>
    <n v="600000"/>
  </r>
  <r>
    <x v="8"/>
    <s v="INV/2026/0022"/>
    <s v="Putra Bagus Kusuma Bangsa"/>
    <x v="5"/>
    <x v="3"/>
    <n v="4"/>
    <n v="950000"/>
    <n v="3800000"/>
  </r>
  <r>
    <x v="8"/>
    <s v="INV/2026/0023"/>
    <s v="Okta Indah Kusuma "/>
    <x v="13"/>
    <x v="1"/>
    <n v="2"/>
    <n v="220000"/>
    <n v="440000"/>
  </r>
  <r>
    <x v="8"/>
    <s v="INV/2026/0024"/>
    <s v="Cahaya Dwi Mulya "/>
    <x v="6"/>
    <x v="1"/>
    <n v="5"/>
    <n v="140000"/>
    <n v="700000"/>
  </r>
  <r>
    <x v="8"/>
    <s v="INV/2026/0025"/>
    <s v="Nadia Dwi Arianti "/>
    <x v="7"/>
    <x v="1"/>
    <n v="1"/>
    <n v="380000"/>
    <n v="380000"/>
  </r>
  <r>
    <x v="8"/>
    <s v="INV/2026/0026"/>
    <s v="Joko Aman Sentosa "/>
    <x v="16"/>
    <x v="1"/>
    <n v="2"/>
    <n v="1200000"/>
    <n v="2400000"/>
  </r>
  <r>
    <x v="9"/>
    <s v="INV/2026/0027"/>
    <s v="Ira Naura"/>
    <x v="16"/>
    <x v="1"/>
    <n v="1"/>
    <n v="1200000"/>
    <n v="1200000"/>
  </r>
  <r>
    <x v="10"/>
    <s v="INV/2026/0028"/>
    <s v="Nanda Ika Julaina "/>
    <x v="17"/>
    <x v="5"/>
    <n v="4"/>
    <n v="450000"/>
    <n v="1800000"/>
  </r>
  <r>
    <x v="11"/>
    <s v="INV/2026/0029"/>
    <s v="Dewi Permata "/>
    <x v="4"/>
    <x v="1"/>
    <n v="3"/>
    <n v="550000"/>
    <n v="1650000"/>
  </r>
  <r>
    <x v="11"/>
    <s v="INV/2026/0030"/>
    <s v="Indah Permatasari "/>
    <x v="6"/>
    <x v="1"/>
    <n v="3"/>
    <n v="450000"/>
    <n v="1350000"/>
  </r>
  <r>
    <x v="12"/>
    <s v="INV/2026/0031"/>
    <s v="Indah Dwi Chayani "/>
    <x v="5"/>
    <x v="3"/>
    <n v="4"/>
    <n v="950000"/>
    <n v="3800000"/>
  </r>
  <r>
    <x v="12"/>
    <s v="INV/2026/0032"/>
    <s v="Lukman Surya Hadi "/>
    <x v="6"/>
    <x v="1"/>
    <n v="3"/>
    <n v="450000"/>
    <n v="1350000"/>
  </r>
  <r>
    <x v="13"/>
    <s v="INV/2026/0033"/>
    <s v="Lukman Bagus Prasetya"/>
    <x v="5"/>
    <x v="3"/>
    <n v="2"/>
    <n v="950000"/>
    <n v="1900000"/>
  </r>
  <r>
    <x v="13"/>
    <s v="INV/2026/0034"/>
    <s v="Novita Anggraini "/>
    <x v="13"/>
    <x v="1"/>
    <n v="3"/>
    <n v="220000"/>
    <n v="660000"/>
  </r>
  <r>
    <x v="13"/>
    <s v="INV/2026/0035"/>
    <s v="Duta Akbar "/>
    <x v="17"/>
    <x v="5"/>
    <n v="2"/>
    <n v="450000"/>
    <n v="900000"/>
  </r>
  <r>
    <x v="13"/>
    <s v="INV/2026/0036"/>
    <s v="Dira Intan Nur Aini "/>
    <x v="7"/>
    <x v="1"/>
    <n v="2"/>
    <n v="380000"/>
    <n v="760000"/>
  </r>
  <r>
    <x v="13"/>
    <s v="INV/2026/0037"/>
    <s v="Yosep Santosa"/>
    <x v="11"/>
    <x v="1"/>
    <n v="2"/>
    <n v="140000"/>
    <n v="280000"/>
  </r>
  <r>
    <x v="13"/>
    <s v="INV/2026/0038"/>
    <s v="Naura Yahya"/>
    <x v="18"/>
    <x v="1"/>
    <n v="5"/>
    <n v="180000"/>
    <n v="900000"/>
  </r>
  <r>
    <x v="13"/>
    <s v="INV/2026/0039"/>
    <s v="Fauzan Muhammad"/>
    <x v="0"/>
    <x v="0"/>
    <n v="1"/>
    <n v="820000"/>
    <n v="820000"/>
  </r>
  <r>
    <x v="14"/>
    <s v="INV/2026/0040"/>
    <s v="Amar Husaini "/>
    <x v="18"/>
    <x v="1"/>
    <n v="1"/>
    <n v="180000"/>
    <n v="180000"/>
  </r>
  <r>
    <x v="14"/>
    <s v="INV/2026/0041"/>
    <s v="Firman Aji "/>
    <x v="19"/>
    <x v="3"/>
    <n v="2"/>
    <n v="750000"/>
    <n v="1500000"/>
  </r>
  <r>
    <x v="14"/>
    <s v="INV/2026/0042"/>
    <s v="Budi Haryanto "/>
    <x v="16"/>
    <x v="1"/>
    <n v="3"/>
    <n v="1800000"/>
    <n v="5400000"/>
  </r>
  <r>
    <x v="14"/>
    <s v="INV/2026/0043"/>
    <s v="Tika Ayu Dwi "/>
    <x v="3"/>
    <x v="2"/>
    <n v="1"/>
    <n v="2500000"/>
    <n v="2500000"/>
  </r>
  <r>
    <x v="14"/>
    <s v="INV/2026/0044"/>
    <s v="Putra Ahmad "/>
    <x v="2"/>
    <x v="1"/>
    <n v="9"/>
    <n v="650000"/>
    <n v="5850000"/>
  </r>
  <r>
    <x v="15"/>
    <s v="INV/2026/0045"/>
    <s v="Hilman Fauzi "/>
    <x v="4"/>
    <x v="1"/>
    <n v="1"/>
    <n v="550000"/>
    <n v="550000"/>
  </r>
  <r>
    <x v="15"/>
    <s v="INV/2026/0046"/>
    <s v="Galih Kusuma "/>
    <x v="5"/>
    <x v="3"/>
    <n v="3"/>
    <n v="950000"/>
    <n v="2850000"/>
  </r>
  <r>
    <x v="15"/>
    <s v="INV/2026/0047"/>
    <s v="Firman Hidayat "/>
    <x v="6"/>
    <x v="1"/>
    <n v="1"/>
    <n v="450000"/>
    <n v="450000"/>
  </r>
  <r>
    <x v="16"/>
    <s v="INV/2026/0048"/>
    <s v="Bunga Mutiara Cahaya"/>
    <x v="7"/>
    <x v="1"/>
    <n v="2"/>
    <n v="380000"/>
    <n v="760000"/>
  </r>
  <r>
    <x v="16"/>
    <s v="INV/2026/0049"/>
    <s v="Indah Permatasari "/>
    <x v="0"/>
    <x v="0"/>
    <n v="1"/>
    <n v="8200000"/>
    <n v="8200000"/>
  </r>
  <r>
    <x v="17"/>
    <s v="INV/2026/0050"/>
    <s v="Kusuma Dwi Arimbi"/>
    <x v="8"/>
    <x v="3"/>
    <n v="5"/>
    <n v="150000"/>
    <n v="750000"/>
  </r>
  <r>
    <x v="17"/>
    <s v="INV/2026/0051"/>
    <s v="Eka Nur Ramadani"/>
    <x v="9"/>
    <x v="1"/>
    <n v="2"/>
    <n v="580000"/>
    <n v="1160000"/>
  </r>
  <r>
    <x v="17"/>
    <s v="INV/2026/0052"/>
    <s v="Galih Kusuma "/>
    <x v="2"/>
    <x v="1"/>
    <n v="1"/>
    <n v="1500000"/>
    <n v="1500000"/>
  </r>
  <r>
    <x v="17"/>
    <s v="INV/2026/0053"/>
    <s v="Lukman Eka Wijaya"/>
    <x v="10"/>
    <x v="4"/>
    <n v="5"/>
    <n v="1500000"/>
    <n v="7500000"/>
  </r>
  <r>
    <x v="17"/>
    <s v="INV/2026/0054"/>
    <s v="Tono Budiman "/>
    <x v="6"/>
    <x v="1"/>
    <n v="2"/>
    <n v="450000"/>
    <n v="900000"/>
  </r>
  <r>
    <x v="17"/>
    <s v="INV/2026/0055"/>
    <s v="Setya Nugroho"/>
    <x v="11"/>
    <x v="1"/>
    <n v="4"/>
    <n v="140000"/>
    <n v="560000"/>
  </r>
  <r>
    <x v="18"/>
    <s v="INV/2026/0056"/>
    <s v="Doni Dwi Oktavian"/>
    <x v="12"/>
    <x v="1"/>
    <n v="2"/>
    <n v="300000"/>
    <n v="600000"/>
  </r>
  <r>
    <x v="18"/>
    <s v="INV/2026/0057"/>
    <s v="Indah Putri Permatasari "/>
    <x v="13"/>
    <x v="1"/>
    <n v="4"/>
    <n v="220000"/>
    <n v="880000"/>
  </r>
  <r>
    <x v="18"/>
    <s v="INV/2026/0058"/>
    <s v="Widya Diana Putri "/>
    <x v="14"/>
    <x v="1"/>
    <n v="1"/>
    <n v="280000"/>
    <n v="280000"/>
  </r>
  <r>
    <x v="18"/>
    <s v="INV/2026/0059"/>
    <s v="Tika Rahma Izza"/>
    <x v="2"/>
    <x v="1"/>
    <n v="1"/>
    <n v="650000"/>
    <n v="650000"/>
  </r>
  <r>
    <x v="18"/>
    <s v="INV/2026/0060"/>
    <s v=" Bagus Eka Pratama"/>
    <x v="6"/>
    <x v="1"/>
    <n v="5"/>
    <n v="450000"/>
    <n v="2250000"/>
  </r>
  <r>
    <x v="19"/>
    <s v="INV/2026/0061"/>
    <s v="Muhammad Dwi Cahyono "/>
    <x v="15"/>
    <x v="1"/>
    <n v="2"/>
    <n v="300000"/>
    <n v="600000"/>
  </r>
  <r>
    <x v="19"/>
    <s v="INV/2026/0062"/>
    <s v="Putra Bagus Kusuma Bangsa"/>
    <x v="5"/>
    <x v="3"/>
    <n v="4"/>
    <n v="950000"/>
    <n v="3800000"/>
  </r>
  <r>
    <x v="19"/>
    <s v="INV/2026/0063"/>
    <s v="Okta Indah Kusuma "/>
    <x v="13"/>
    <x v="1"/>
    <n v="2"/>
    <n v="220000"/>
    <n v="440000"/>
  </r>
  <r>
    <x v="20"/>
    <s v="INV/2026/0064"/>
    <s v="Cahaya Dwi Mulya "/>
    <x v="6"/>
    <x v="1"/>
    <n v="5"/>
    <n v="140000"/>
    <n v="700000"/>
  </r>
  <r>
    <x v="20"/>
    <s v="INV/2026/0065"/>
    <s v="Nadia Dwi Arianti "/>
    <x v="7"/>
    <x v="1"/>
    <n v="1"/>
    <n v="380000"/>
    <n v="380000"/>
  </r>
  <r>
    <x v="20"/>
    <s v="INV/2026/0066"/>
    <s v="Joko Aman Sentosa "/>
    <x v="16"/>
    <x v="1"/>
    <n v="2"/>
    <n v="1200000"/>
    <n v="2400000"/>
  </r>
  <r>
    <x v="20"/>
    <s v="INV/2026/0067"/>
    <s v="Ira Naura"/>
    <x v="16"/>
    <x v="1"/>
    <n v="1"/>
    <n v="1200000"/>
    <n v="1200000"/>
  </r>
  <r>
    <x v="21"/>
    <s v="INV/2026/0068"/>
    <s v="Nanda Ika Julaina "/>
    <x v="17"/>
    <x v="5"/>
    <n v="4"/>
    <n v="450000"/>
    <n v="1800000"/>
  </r>
  <r>
    <x v="21"/>
    <s v="INV/2026/0069"/>
    <s v="Dewi Permata "/>
    <x v="4"/>
    <x v="1"/>
    <n v="3"/>
    <n v="550000"/>
    <n v="1650000"/>
  </r>
  <r>
    <x v="22"/>
    <s v="INV/2026/0070"/>
    <s v="Indah Permatasari "/>
    <x v="6"/>
    <x v="1"/>
    <n v="3"/>
    <n v="450000"/>
    <n v="1350000"/>
  </r>
  <r>
    <x v="22"/>
    <s v="INV/2026/0071"/>
    <s v="Indah Dwi Chayani "/>
    <x v="5"/>
    <x v="3"/>
    <n v="4"/>
    <n v="950000"/>
    <n v="3800000"/>
  </r>
  <r>
    <x v="22"/>
    <s v="INV/2026/0072"/>
    <s v="Lukman Surya Hadi "/>
    <x v="6"/>
    <x v="1"/>
    <n v="3"/>
    <n v="450000"/>
    <n v="1350000"/>
  </r>
  <r>
    <x v="22"/>
    <s v="INV/2026/0073"/>
    <s v="Lukman Bagus Prasetya"/>
    <x v="5"/>
    <x v="3"/>
    <n v="2"/>
    <n v="950000"/>
    <n v="1900000"/>
  </r>
  <r>
    <x v="23"/>
    <s v="INV/2026/0074"/>
    <s v="Novita Anggraini "/>
    <x v="13"/>
    <x v="1"/>
    <n v="3"/>
    <n v="220000"/>
    <n v="660000"/>
  </r>
  <r>
    <x v="23"/>
    <s v="INV/2026/0075"/>
    <s v="Duta Akbar "/>
    <x v="17"/>
    <x v="5"/>
    <n v="2"/>
    <n v="450000"/>
    <n v="900000"/>
  </r>
  <r>
    <x v="24"/>
    <s v="INV/2026/0076"/>
    <s v="Hilman Fauzi "/>
    <x v="4"/>
    <x v="1"/>
    <n v="1"/>
    <n v="550000"/>
    <n v="550000"/>
  </r>
  <r>
    <x v="25"/>
    <s v="INV/2026/0077"/>
    <s v="Galih Kusuma "/>
    <x v="5"/>
    <x v="3"/>
    <n v="3"/>
    <n v="950000"/>
    <n v="2850000"/>
  </r>
  <r>
    <x v="25"/>
    <s v="INV/2026/0078"/>
    <s v="Firman Hidayat "/>
    <x v="6"/>
    <x v="1"/>
    <n v="1"/>
    <n v="450000"/>
    <n v="450000"/>
  </r>
  <r>
    <x v="25"/>
    <s v="INV/2026/0079"/>
    <s v="Bunga Mutiara Cahaya"/>
    <x v="7"/>
    <x v="1"/>
    <n v="2"/>
    <n v="380000"/>
    <n v="760000"/>
  </r>
  <r>
    <x v="26"/>
    <s v="INV/2026/0080"/>
    <s v="Indah Permatasari "/>
    <x v="0"/>
    <x v="0"/>
    <n v="1"/>
    <n v="8200000"/>
    <n v="8200000"/>
  </r>
  <r>
    <x v="26"/>
    <s v="INV/2026/0081"/>
    <s v="Kusuma Dwi Arimbi"/>
    <x v="8"/>
    <x v="3"/>
    <n v="5"/>
    <n v="150000"/>
    <n v="750000"/>
  </r>
  <r>
    <x v="26"/>
    <s v="INV/2026/0082"/>
    <s v="Eka Nur Ramadani"/>
    <x v="9"/>
    <x v="1"/>
    <n v="2"/>
    <n v="580000"/>
    <n v="1160000"/>
  </r>
  <r>
    <x v="27"/>
    <s v="INV/2026/0083"/>
    <s v="Galih Kusuma "/>
    <x v="2"/>
    <x v="1"/>
    <n v="1"/>
    <n v="1500000"/>
    <n v="1500000"/>
  </r>
  <r>
    <x v="27"/>
    <s v="INV/2026/0084"/>
    <s v="Lukman Eka Wijaya"/>
    <x v="10"/>
    <x v="4"/>
    <n v="5"/>
    <n v="1500000"/>
    <n v="7500000"/>
  </r>
  <r>
    <x v="28"/>
    <s v="INV/2026/0085"/>
    <s v="Tono Budiman "/>
    <x v="6"/>
    <x v="1"/>
    <n v="2"/>
    <n v="450000"/>
    <n v="900000"/>
  </r>
  <r>
    <x v="28"/>
    <s v="INV/2026/0086"/>
    <s v="Setya Nugroho"/>
    <x v="11"/>
    <x v="1"/>
    <n v="4"/>
    <n v="140000"/>
    <n v="560000"/>
  </r>
  <r>
    <x v="28"/>
    <s v="INV/2026/0087"/>
    <s v="Doni Dwi Oktavian"/>
    <x v="12"/>
    <x v="1"/>
    <n v="2"/>
    <n v="300000"/>
    <n v="600000"/>
  </r>
  <r>
    <x v="29"/>
    <s v="INV/2026/0088"/>
    <s v="Indah Putri Permatasari "/>
    <x v="13"/>
    <x v="1"/>
    <n v="4"/>
    <n v="220000"/>
    <n v="880000"/>
  </r>
  <r>
    <x v="29"/>
    <s v="INV/2026/0089"/>
    <s v="Widya Diana Putri "/>
    <x v="14"/>
    <x v="1"/>
    <n v="1"/>
    <n v="280000"/>
    <n v="280000"/>
  </r>
  <r>
    <x v="29"/>
    <s v="INV/2026/0090"/>
    <s v="Tika Rahma Izza"/>
    <x v="2"/>
    <x v="1"/>
    <n v="1"/>
    <n v="650000"/>
    <n v="650000"/>
  </r>
  <r>
    <x v="30"/>
    <s v="INV/2026/0091"/>
    <s v=" Bagus Eka Pratama"/>
    <x v="6"/>
    <x v="1"/>
    <n v="5"/>
    <n v="450000"/>
    <n v="2250000"/>
  </r>
  <r>
    <x v="30"/>
    <s v="INV/2026/0092"/>
    <s v="Muhammad Dwi Cahyono "/>
    <x v="15"/>
    <x v="1"/>
    <n v="2"/>
    <n v="300000"/>
    <n v="600000"/>
  </r>
  <r>
    <x v="30"/>
    <s v="INV/2026/0093"/>
    <s v="Putra Bagus Kusuma Bangsa"/>
    <x v="5"/>
    <x v="3"/>
    <n v="4"/>
    <n v="950000"/>
    <n v="3800000"/>
  </r>
  <r>
    <x v="31"/>
    <s v="INV/2026/0094"/>
    <s v="Okta Indah Kusuma "/>
    <x v="13"/>
    <x v="1"/>
    <n v="2"/>
    <n v="220000"/>
    <n v="440000"/>
  </r>
  <r>
    <x v="31"/>
    <s v="INV/2026/0095"/>
    <s v="Cahaya Dwi Mulya "/>
    <x v="6"/>
    <x v="1"/>
    <n v="5"/>
    <n v="140000"/>
    <n v="700000"/>
  </r>
  <r>
    <x v="31"/>
    <s v="INV/2026/0096"/>
    <s v="Nadia Dwi Arianti "/>
    <x v="7"/>
    <x v="1"/>
    <n v="1"/>
    <n v="380000"/>
    <n v="380000"/>
  </r>
  <r>
    <x v="31"/>
    <s v="INV/2026/0097"/>
    <s v="Joko Aman Sentosa "/>
    <x v="16"/>
    <x v="1"/>
    <n v="2"/>
    <n v="1200000"/>
    <n v="24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A802E6-27E4-428A-820A-369A24D6FB55}"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5" firstHeaderRow="0" firstDataRow="1" firstDataCol="0"/>
  <pivotFields count="8">
    <pivotField numFmtId="14" showAll="0"/>
    <pivotField showAll="0"/>
    <pivotField showAll="0"/>
    <pivotField showAll="0"/>
    <pivotField showAll="0">
      <items count="7">
        <item h="1" x="1"/>
        <item x="5"/>
        <item h="1" x="0"/>
        <item h="1" x="2"/>
        <item h="1" x="4"/>
        <item h="1" x="3"/>
        <item t="default"/>
      </items>
    </pivotField>
    <pivotField dataField="1" showAll="0"/>
    <pivotField numFmtId="42" showAll="0"/>
    <pivotField dataField="1" numFmtId="42" showAll="0"/>
  </pivotFields>
  <rowItems count="1">
    <i/>
  </rowItems>
  <colFields count="1">
    <field x="-2"/>
  </colFields>
  <colItems count="2">
    <i>
      <x/>
    </i>
    <i i="1">
      <x v="1"/>
    </i>
  </colItems>
  <dataFields count="2">
    <dataField name="Sum of QTY" fld="5" baseField="0" baseItem="0"/>
    <dataField name="Sum of TOTAL PENJUALAN " fld="7"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415F0-E807-42EF-8F99-892316D9B497}" name="PivotTable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24" firstHeaderRow="1" firstDataRow="1" firstDataCol="1"/>
  <pivotFields count="8">
    <pivotField numFmtId="14" showAll="0">
      <items count="33">
        <item x="0"/>
        <item x="1"/>
        <item x="2"/>
        <item x="3"/>
        <item x="4"/>
        <item x="5"/>
        <item x="6"/>
        <item x="7"/>
        <item x="8"/>
        <item x="9"/>
        <item x="11"/>
        <item x="12"/>
        <item x="13"/>
        <item x="14"/>
        <item x="15"/>
        <item x="16"/>
        <item x="17"/>
        <item x="18"/>
        <item x="19"/>
        <item x="20"/>
        <item x="21"/>
        <item x="22"/>
        <item x="23"/>
        <item x="24"/>
        <item x="25"/>
        <item x="26"/>
        <item x="27"/>
        <item x="28"/>
        <item x="29"/>
        <item x="30"/>
        <item x="31"/>
        <item x="10"/>
        <item t="default"/>
      </items>
    </pivotField>
    <pivotField showAll="0"/>
    <pivotField showAll="0"/>
    <pivotField axis="axisRow" showAll="0">
      <items count="21">
        <item x="14"/>
        <item x="8"/>
        <item x="19"/>
        <item x="4"/>
        <item x="11"/>
        <item x="2"/>
        <item x="0"/>
        <item x="15"/>
        <item x="3"/>
        <item x="1"/>
        <item x="12"/>
        <item x="18"/>
        <item x="9"/>
        <item x="10"/>
        <item x="17"/>
        <item x="7"/>
        <item x="5"/>
        <item x="16"/>
        <item x="13"/>
        <item x="6"/>
        <item t="default"/>
      </items>
    </pivotField>
    <pivotField showAll="0"/>
    <pivotField dataField="1" showAll="0"/>
    <pivotField numFmtId="42" showAll="0"/>
    <pivotField numFmtId="42"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TY" fld="5" baseField="0" baseItem="0"/>
  </dataFields>
  <formats count="1">
    <format dxfId="4">
      <pivotArea outline="0" collapsedLevelsAreSubtotals="1" fieldPosition="0"/>
    </format>
  </formats>
  <pivotTableStyleInfo name="PivotStyleLight16" showRowHeaders="1" showColHeaders="1" showRowStripes="0" showColStripes="0" showLastColumn="1"/>
  <filters count="1">
    <filter fld="0" type="dateBetween" evalOrder="-1" id="4" name="TANGGAL">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6EE736-10B8-4DFF-80C7-005A84E08B7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G3:H5" firstHeaderRow="1" firstDataRow="1" firstDataCol="1"/>
  <pivotFields count="8">
    <pivotField numFmtId="14" showAll="0"/>
    <pivotField showAll="0"/>
    <pivotField showAll="0"/>
    <pivotField showAll="0">
      <items count="21">
        <item x="14"/>
        <item x="8"/>
        <item x="19"/>
        <item x="4"/>
        <item x="11"/>
        <item x="2"/>
        <item x="0"/>
        <item x="15"/>
        <item x="3"/>
        <item x="1"/>
        <item x="12"/>
        <item x="18"/>
        <item x="9"/>
        <item x="10"/>
        <item x="17"/>
        <item x="7"/>
        <item x="5"/>
        <item x="16"/>
        <item x="13"/>
        <item x="6"/>
        <item t="default"/>
      </items>
    </pivotField>
    <pivotField axis="axisRow" showAll="0">
      <items count="7">
        <item h="1" x="1"/>
        <item x="5"/>
        <item h="1" x="0"/>
        <item h="1" x="2"/>
        <item h="1" x="4"/>
        <item h="1" x="3"/>
        <item t="default"/>
      </items>
    </pivotField>
    <pivotField showAll="0"/>
    <pivotField numFmtId="42" showAll="0"/>
    <pivotField dataField="1" numFmtId="42" showAll="0"/>
  </pivotFields>
  <rowFields count="1">
    <field x="4"/>
  </rowFields>
  <rowItems count="2">
    <i>
      <x v="1"/>
    </i>
    <i t="grand">
      <x/>
    </i>
  </rowItems>
  <colItems count="1">
    <i/>
  </colItems>
  <dataFields count="1">
    <dataField name="Sum of TOTAL PENJUALAN " fld="7" baseField="0" baseItem="0" numFmtId="42"/>
  </dataFields>
  <chartFormats count="18">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4" count="1" selected="0">
            <x v="0"/>
          </reference>
        </references>
      </pivotArea>
    </chartFormat>
    <chartFormat chart="31" format="3">
      <pivotArea type="data" outline="0" fieldPosition="0">
        <references count="2">
          <reference field="4294967294" count="1" selected="0">
            <x v="0"/>
          </reference>
          <reference field="4" count="1" selected="0">
            <x v="1"/>
          </reference>
        </references>
      </pivotArea>
    </chartFormat>
    <chartFormat chart="31" format="4">
      <pivotArea type="data" outline="0" fieldPosition="0">
        <references count="2">
          <reference field="4294967294" count="1" selected="0">
            <x v="0"/>
          </reference>
          <reference field="4" count="1" selected="0">
            <x v="2"/>
          </reference>
        </references>
      </pivotArea>
    </chartFormat>
    <chartFormat chart="31" format="5">
      <pivotArea type="data" outline="0" fieldPosition="0">
        <references count="2">
          <reference field="4294967294" count="1" selected="0">
            <x v="0"/>
          </reference>
          <reference field="4" count="1" selected="0">
            <x v="3"/>
          </reference>
        </references>
      </pivotArea>
    </chartFormat>
    <chartFormat chart="31" format="6">
      <pivotArea type="data" outline="0" fieldPosition="0">
        <references count="2">
          <reference field="4294967294" count="1" selected="0">
            <x v="0"/>
          </reference>
          <reference field="4" count="1" selected="0">
            <x v="4"/>
          </reference>
        </references>
      </pivotArea>
    </chartFormat>
    <chartFormat chart="31" format="7">
      <pivotArea type="data" outline="0" fieldPosition="0">
        <references count="2">
          <reference field="4294967294" count="1" selected="0">
            <x v="0"/>
          </reference>
          <reference field="4" count="1" selected="0">
            <x v="5"/>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4" count="1" selected="0">
            <x v="0"/>
          </reference>
        </references>
      </pivotArea>
    </chartFormat>
    <chartFormat chart="32" format="10">
      <pivotArea type="data" outline="0" fieldPosition="0">
        <references count="2">
          <reference field="4294967294" count="1" selected="0">
            <x v="0"/>
          </reference>
          <reference field="4" count="1" selected="0">
            <x v="1"/>
          </reference>
        </references>
      </pivotArea>
    </chartFormat>
    <chartFormat chart="32" format="11">
      <pivotArea type="data" outline="0" fieldPosition="0">
        <references count="2">
          <reference field="4294967294" count="1" selected="0">
            <x v="0"/>
          </reference>
          <reference field="4" count="1" selected="0">
            <x v="2"/>
          </reference>
        </references>
      </pivotArea>
    </chartFormat>
    <chartFormat chart="32" format="12">
      <pivotArea type="data" outline="0" fieldPosition="0">
        <references count="2">
          <reference field="4294967294" count="1" selected="0">
            <x v="0"/>
          </reference>
          <reference field="4" count="1" selected="0">
            <x v="3"/>
          </reference>
        </references>
      </pivotArea>
    </chartFormat>
    <chartFormat chart="32" format="13">
      <pivotArea type="data" outline="0" fieldPosition="0">
        <references count="2">
          <reference field="4294967294" count="1" selected="0">
            <x v="0"/>
          </reference>
          <reference field="4" count="1" selected="0">
            <x v="4"/>
          </reference>
        </references>
      </pivotArea>
    </chartFormat>
    <chartFormat chart="32"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90261-11D8-4D85-A8BE-6C2DDC70605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24"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PENJUALAN" fld="1" baseField="0" baseItem="0" numFmtId="42"/>
  </dataFields>
  <formats count="1">
    <format dxfId="5">
      <pivotArea outline="0" collapsedLevelsAreSubtotals="1" fieldPosition="0"/>
    </format>
  </format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Sales Form and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Y" xr10:uid="{39735A49-E997-47B0-ACAC-6F6A60BD7DD6}" sourceName="KATEGORY">
  <pivotTables>
    <pivotTable tabId="3" name="PivotTable3"/>
    <pivotTable tabId="3" name="PivotTable6"/>
  </pivotTables>
  <data>
    <tabular pivotCacheId="942368996">
      <items count="6">
        <i x="1"/>
        <i x="5" s="1"/>
        <i x="0"/>
        <i x="2"/>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Y" xr10:uid="{3A56C2DD-5A64-42B3-A60F-A69C9D5B9F43}" cache="Slicer_KATEGORY" caption="K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2EED3-D594-4A37-A32A-48576257F379}" name="Table1" displayName="Table1" ref="B5:I102" totalsRowShown="0" headerRowDxfId="17" headerRowBorderDxfId="16" tableBorderDxfId="15" totalsRowBorderDxfId="14">
  <autoFilter ref="B5:I102" xr:uid="{2582EED3-D594-4A37-A32A-48576257F379}"/>
  <tableColumns count="8">
    <tableColumn id="1" xr3:uid="{D4ACA99B-2C75-400D-95E9-D9372D7D1778}" name="TANGGAL" dataDxfId="13"/>
    <tableColumn id="2" xr3:uid="{AA6DC442-65D3-4F33-82D5-DB027496C3C5}" name=" NO INVOICE" dataDxfId="12">
      <calculatedColumnFormula>"INV/2026/"&amp;TEXT(ROW()-5,"0000")</calculatedColumnFormula>
    </tableColumn>
    <tableColumn id="3" xr3:uid="{78038B73-2C2C-405E-8FAE-B41F9BABA023}" name="NAMA PELANGGAN" dataDxfId="11"/>
    <tableColumn id="4" xr3:uid="{BCEC1EEA-E7A6-4C18-ADAE-EC21F5490F60}" name="NAMA BARANG" dataDxfId="10"/>
    <tableColumn id="5" xr3:uid="{778D9182-0D08-4FFD-B1AA-3DEEB1C378E2}" name="KATEGORY" dataDxfId="9"/>
    <tableColumn id="6" xr3:uid="{41AD9510-4433-43D4-AAF6-73E2C7A1F33E}" name="QTY" dataDxfId="8"/>
    <tableColumn id="7" xr3:uid="{83F1BC64-4275-4A61-98F0-D3D6E66E6784}" name="HARGA SATUAN" dataDxfId="7"/>
    <tableColumn id="8" xr3:uid="{F12EE89D-02A8-4285-BF84-B7077C18997B}" name="TOTAL PENJUALAN " dataDxfId="6">
      <calculatedColumnFormula>IFERROR(G6*H6,"")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F23B7-158C-48A5-A856-46A9471B9BE9}">
  <dimension ref="B1:V111"/>
  <sheetViews>
    <sheetView topLeftCell="D1" zoomScale="67" workbookViewId="0">
      <selection activeCell="B5" sqref="B5:I102"/>
    </sheetView>
  </sheetViews>
  <sheetFormatPr defaultRowHeight="15" x14ac:dyDescent="0.25"/>
  <cols>
    <col min="2" max="2" width="15.28515625" customWidth="1"/>
    <col min="3" max="3" width="18.140625" customWidth="1"/>
    <col min="4" max="4" width="26.42578125" customWidth="1"/>
    <col min="5" max="5" width="23.42578125" bestFit="1" customWidth="1"/>
    <col min="6" max="6" width="17" customWidth="1"/>
    <col min="7" max="7" width="8.5703125" customWidth="1"/>
    <col min="8" max="8" width="25.42578125" style="4" customWidth="1"/>
    <col min="9" max="9" width="27.28515625" customWidth="1"/>
    <col min="11" max="11" width="11.28515625" bestFit="1" customWidth="1"/>
    <col min="12" max="12" width="18" customWidth="1"/>
    <col min="13" max="13" width="19" customWidth="1"/>
    <col min="14" max="14" width="14" customWidth="1"/>
    <col min="15" max="15" width="13.7109375" bestFit="1" customWidth="1"/>
    <col min="16" max="16" width="17.5703125" customWidth="1"/>
  </cols>
  <sheetData>
    <row r="1" spans="2:22" ht="9" customHeight="1" x14ac:dyDescent="0.25"/>
    <row r="2" spans="2:22" ht="38.25" customHeight="1" x14ac:dyDescent="0.25">
      <c r="B2" s="33" t="s">
        <v>7</v>
      </c>
      <c r="C2" s="34"/>
      <c r="D2" s="34"/>
      <c r="E2" s="34"/>
      <c r="F2" s="34"/>
      <c r="G2" s="34"/>
      <c r="H2" s="34"/>
      <c r="I2" s="34"/>
    </row>
    <row r="3" spans="2:22" x14ac:dyDescent="0.25">
      <c r="B3" s="2" t="s">
        <v>8</v>
      </c>
      <c r="C3" s="3"/>
      <c r="D3" s="3"/>
      <c r="E3" s="3"/>
      <c r="F3" s="3"/>
      <c r="G3" s="3"/>
      <c r="H3" s="6"/>
      <c r="I3" s="3"/>
    </row>
    <row r="4" spans="2:22" ht="7.5" customHeight="1" x14ac:dyDescent="0.25"/>
    <row r="5" spans="2:22" ht="25.5" customHeight="1" x14ac:dyDescent="0.25">
      <c r="B5" s="18" t="s">
        <v>0</v>
      </c>
      <c r="C5" s="19" t="s">
        <v>4</v>
      </c>
      <c r="D5" s="19" t="s">
        <v>9</v>
      </c>
      <c r="E5" s="19" t="s">
        <v>5</v>
      </c>
      <c r="F5" s="19" t="s">
        <v>10</v>
      </c>
      <c r="G5" s="19" t="s">
        <v>1</v>
      </c>
      <c r="H5" s="20" t="s">
        <v>2</v>
      </c>
      <c r="I5" s="21" t="s">
        <v>6</v>
      </c>
    </row>
    <row r="6" spans="2:22" x14ac:dyDescent="0.25">
      <c r="B6" s="16">
        <v>45658</v>
      </c>
      <c r="C6" s="7" t="str">
        <f>"INV/2026/"&amp;TEXT(ROW()-5,"0000")</f>
        <v>INV/2026/0001</v>
      </c>
      <c r="D6" s="7" t="s">
        <v>20</v>
      </c>
      <c r="E6" s="7" t="s">
        <v>11</v>
      </c>
      <c r="F6" s="7" t="s">
        <v>34</v>
      </c>
      <c r="G6" s="10">
        <v>1</v>
      </c>
      <c r="H6" s="8">
        <v>8200000</v>
      </c>
      <c r="I6" s="17">
        <f>IFERROR(G6*H6,"")</f>
        <v>8200000</v>
      </c>
      <c r="V6" t="s">
        <v>88</v>
      </c>
    </row>
    <row r="7" spans="2:22" x14ac:dyDescent="0.25">
      <c r="B7" s="16">
        <v>45658</v>
      </c>
      <c r="C7" s="7" t="str">
        <f t="shared" ref="C7:C70" si="0">"INV/2026/"&amp;TEXT(ROW()-5,"0000")</f>
        <v>INV/2026/0002</v>
      </c>
      <c r="D7" s="7" t="s">
        <v>21</v>
      </c>
      <c r="E7" s="7" t="s">
        <v>12</v>
      </c>
      <c r="F7" s="7" t="s">
        <v>31</v>
      </c>
      <c r="G7" s="10">
        <v>2</v>
      </c>
      <c r="H7" s="8">
        <v>280000</v>
      </c>
      <c r="I7" s="17">
        <f t="shared" ref="I7:I70" si="1">IFERROR(G7*H7,"")</f>
        <v>560000</v>
      </c>
      <c r="L7" s="35" t="s">
        <v>79</v>
      </c>
      <c r="M7" s="35"/>
      <c r="N7" s="35"/>
      <c r="O7" s="35"/>
      <c r="P7" s="35"/>
    </row>
    <row r="8" spans="2:22" x14ac:dyDescent="0.25">
      <c r="B8" s="16">
        <v>45658</v>
      </c>
      <c r="C8" s="7" t="str">
        <f t="shared" si="0"/>
        <v>INV/2026/0003</v>
      </c>
      <c r="D8" s="7" t="s">
        <v>22</v>
      </c>
      <c r="E8" s="7" t="s">
        <v>13</v>
      </c>
      <c r="F8" s="7" t="s">
        <v>31</v>
      </c>
      <c r="G8" s="10">
        <v>1</v>
      </c>
      <c r="H8" s="8">
        <v>650000</v>
      </c>
      <c r="I8" s="17">
        <f t="shared" si="1"/>
        <v>650000</v>
      </c>
      <c r="L8" s="35" t="s">
        <v>80</v>
      </c>
      <c r="M8" s="35"/>
      <c r="N8" s="35"/>
      <c r="O8" s="35"/>
      <c r="P8" s="35"/>
    </row>
    <row r="9" spans="2:22" x14ac:dyDescent="0.25">
      <c r="B9" s="16">
        <v>45659</v>
      </c>
      <c r="C9" s="7" t="str">
        <f t="shared" si="0"/>
        <v>INV/2026/0004</v>
      </c>
      <c r="D9" s="7" t="s">
        <v>23</v>
      </c>
      <c r="E9" s="7" t="s">
        <v>14</v>
      </c>
      <c r="F9" s="7" t="s">
        <v>32</v>
      </c>
      <c r="G9" s="10">
        <v>2</v>
      </c>
      <c r="H9" s="8">
        <v>2500000</v>
      </c>
      <c r="I9" s="17">
        <f t="shared" si="1"/>
        <v>5000000</v>
      </c>
      <c r="N9" t="s">
        <v>81</v>
      </c>
    </row>
    <row r="10" spans="2:22" x14ac:dyDescent="0.25">
      <c r="B10" s="16">
        <v>45659</v>
      </c>
      <c r="C10" s="7" t="str">
        <f t="shared" si="0"/>
        <v>INV/2026/0005</v>
      </c>
      <c r="D10" s="7" t="s">
        <v>24</v>
      </c>
      <c r="E10" s="7" t="s">
        <v>15</v>
      </c>
      <c r="F10" s="7" t="s">
        <v>31</v>
      </c>
      <c r="G10" s="10">
        <v>1</v>
      </c>
      <c r="H10" s="8">
        <v>550000</v>
      </c>
      <c r="I10" s="17">
        <f t="shared" si="1"/>
        <v>550000</v>
      </c>
      <c r="N10" s="1" t="s">
        <v>87</v>
      </c>
    </row>
    <row r="11" spans="2:22" x14ac:dyDescent="0.25">
      <c r="B11" s="16">
        <v>45660</v>
      </c>
      <c r="C11" s="7" t="str">
        <f t="shared" si="0"/>
        <v>INV/2026/0006</v>
      </c>
      <c r="D11" s="7" t="s">
        <v>25</v>
      </c>
      <c r="E11" s="7" t="s">
        <v>16</v>
      </c>
      <c r="F11" s="7" t="s">
        <v>33</v>
      </c>
      <c r="G11" s="10">
        <v>3</v>
      </c>
      <c r="H11" s="8">
        <v>950000</v>
      </c>
      <c r="I11" s="17">
        <f t="shared" si="1"/>
        <v>2850000</v>
      </c>
      <c r="R11" s="5"/>
    </row>
    <row r="12" spans="2:22" x14ac:dyDescent="0.25">
      <c r="B12" s="16">
        <v>45660</v>
      </c>
      <c r="C12" s="7" t="str">
        <f t="shared" si="0"/>
        <v>INV/2026/0007</v>
      </c>
      <c r="D12" s="7" t="s">
        <v>26</v>
      </c>
      <c r="E12" s="7" t="s">
        <v>17</v>
      </c>
      <c r="F12" s="7" t="s">
        <v>31</v>
      </c>
      <c r="G12" s="10">
        <v>1</v>
      </c>
      <c r="H12" s="8">
        <v>450000</v>
      </c>
      <c r="I12" s="17">
        <f t="shared" si="1"/>
        <v>450000</v>
      </c>
      <c r="L12" s="11" t="s">
        <v>83</v>
      </c>
      <c r="M12" s="11" t="s">
        <v>82</v>
      </c>
      <c r="N12" s="11" t="s">
        <v>84</v>
      </c>
      <c r="O12" s="11" t="s">
        <v>85</v>
      </c>
      <c r="P12" s="11" t="s">
        <v>86</v>
      </c>
      <c r="R12" s="12"/>
    </row>
    <row r="13" spans="2:22" x14ac:dyDescent="0.25">
      <c r="B13" s="16">
        <v>45660</v>
      </c>
      <c r="C13" s="7" t="str">
        <f t="shared" si="0"/>
        <v>INV/2026/0008</v>
      </c>
      <c r="D13" s="7" t="s">
        <v>27</v>
      </c>
      <c r="E13" s="7" t="s">
        <v>18</v>
      </c>
      <c r="F13" s="7" t="s">
        <v>31</v>
      </c>
      <c r="G13" s="10">
        <v>2</v>
      </c>
      <c r="H13" s="8">
        <v>380000</v>
      </c>
      <c r="I13" s="17">
        <f t="shared" si="1"/>
        <v>760000</v>
      </c>
      <c r="L13" s="10" t="str">
        <f>$N$10</f>
        <v>INV/2026/0035</v>
      </c>
      <c r="M13" s="10" t="str">
        <f>_xll.XLOOKUP($L$13,$C$6:$C$102,$E$6:$E$102)</f>
        <v xml:space="preserve">RAM DDR4 8GB </v>
      </c>
      <c r="N13" s="10">
        <f>_xll.XLOOKUP($L$13,$C$6:$C$102,$G$6:$G$102)</f>
        <v>2</v>
      </c>
      <c r="O13" s="10">
        <f>_xll.XLOOKUP($L$13,$C$6:$C$102,$H$6:$H$102)</f>
        <v>450000</v>
      </c>
      <c r="P13" s="10">
        <f>_xll.XLOOKUP($L$13,$C$6:$C$102,$I$6:$I$102)</f>
        <v>900000</v>
      </c>
    </row>
    <row r="14" spans="2:22" x14ac:dyDescent="0.25">
      <c r="B14" s="16">
        <v>45660</v>
      </c>
      <c r="C14" s="7" t="str">
        <f t="shared" si="0"/>
        <v>INV/2026/0009</v>
      </c>
      <c r="D14" s="7" t="s">
        <v>28</v>
      </c>
      <c r="E14" s="7" t="s">
        <v>11</v>
      </c>
      <c r="F14" s="7" t="s">
        <v>34</v>
      </c>
      <c r="G14" s="10">
        <v>1</v>
      </c>
      <c r="H14" s="8">
        <v>8200000</v>
      </c>
      <c r="I14" s="17">
        <f t="shared" si="1"/>
        <v>8200000</v>
      </c>
      <c r="L14" s="7"/>
      <c r="M14" s="7"/>
      <c r="N14" s="7"/>
      <c r="O14" s="8"/>
      <c r="P14" s="8"/>
    </row>
    <row r="15" spans="2:22" x14ac:dyDescent="0.25">
      <c r="B15" s="16">
        <v>45661</v>
      </c>
      <c r="C15" s="7" t="str">
        <f t="shared" si="0"/>
        <v>INV/2026/0010</v>
      </c>
      <c r="D15" s="7" t="s">
        <v>29</v>
      </c>
      <c r="E15" s="7" t="s">
        <v>19</v>
      </c>
      <c r="F15" s="7" t="s">
        <v>33</v>
      </c>
      <c r="G15" s="10">
        <v>5</v>
      </c>
      <c r="H15" s="8">
        <v>150000</v>
      </c>
      <c r="I15" s="17">
        <f t="shared" si="1"/>
        <v>750000</v>
      </c>
      <c r="L15" s="7"/>
      <c r="M15" s="7"/>
      <c r="N15" s="7"/>
      <c r="O15" s="8"/>
      <c r="P15" s="8"/>
    </row>
    <row r="16" spans="2:22" x14ac:dyDescent="0.25">
      <c r="B16" s="16">
        <v>45661</v>
      </c>
      <c r="C16" s="7" t="str">
        <f t="shared" si="0"/>
        <v>INV/2026/0011</v>
      </c>
      <c r="D16" s="7" t="s">
        <v>30</v>
      </c>
      <c r="E16" s="7" t="s">
        <v>35</v>
      </c>
      <c r="F16" s="7" t="s">
        <v>31</v>
      </c>
      <c r="G16" s="10">
        <v>2</v>
      </c>
      <c r="H16" s="8">
        <v>580000</v>
      </c>
      <c r="I16" s="17">
        <f t="shared" si="1"/>
        <v>1160000</v>
      </c>
      <c r="L16" s="7"/>
      <c r="M16" s="7"/>
      <c r="N16" s="7"/>
      <c r="O16" s="8"/>
      <c r="P16" s="8"/>
    </row>
    <row r="17" spans="2:16" x14ac:dyDescent="0.25">
      <c r="B17" s="16">
        <v>45662</v>
      </c>
      <c r="C17" s="7" t="str">
        <f t="shared" si="0"/>
        <v>INV/2026/0012</v>
      </c>
      <c r="D17" s="7" t="s">
        <v>25</v>
      </c>
      <c r="E17" s="7" t="s">
        <v>13</v>
      </c>
      <c r="F17" s="7" t="s">
        <v>31</v>
      </c>
      <c r="G17" s="10">
        <v>1</v>
      </c>
      <c r="H17" s="8">
        <v>1500000</v>
      </c>
      <c r="I17" s="17">
        <f t="shared" si="1"/>
        <v>1500000</v>
      </c>
      <c r="L17" s="36" t="s">
        <v>3</v>
      </c>
      <c r="M17" s="37"/>
      <c r="N17" s="37"/>
      <c r="O17" s="38"/>
      <c r="P17" s="15">
        <f>SUM(P13:P16)</f>
        <v>900000</v>
      </c>
    </row>
    <row r="18" spans="2:16" x14ac:dyDescent="0.25">
      <c r="B18" s="16">
        <v>45662</v>
      </c>
      <c r="C18" s="7" t="str">
        <f t="shared" si="0"/>
        <v>INV/2026/0013</v>
      </c>
      <c r="D18" s="7" t="s">
        <v>36</v>
      </c>
      <c r="E18" s="7" t="s">
        <v>37</v>
      </c>
      <c r="F18" s="7" t="s">
        <v>38</v>
      </c>
      <c r="G18" s="10">
        <v>5</v>
      </c>
      <c r="H18" s="8">
        <v>1500000</v>
      </c>
      <c r="I18" s="17">
        <f t="shared" si="1"/>
        <v>7500000</v>
      </c>
      <c r="L18" s="39"/>
      <c r="M18" s="40"/>
      <c r="N18" s="40"/>
      <c r="O18" s="40"/>
      <c r="P18" s="41"/>
    </row>
    <row r="19" spans="2:16" x14ac:dyDescent="0.25">
      <c r="B19" s="16">
        <v>45663</v>
      </c>
      <c r="C19" s="7" t="str">
        <f t="shared" si="0"/>
        <v>INV/2026/0014</v>
      </c>
      <c r="D19" s="7" t="s">
        <v>39</v>
      </c>
      <c r="E19" s="7" t="s">
        <v>17</v>
      </c>
      <c r="F19" s="7" t="s">
        <v>31</v>
      </c>
      <c r="G19" s="10">
        <v>2</v>
      </c>
      <c r="H19" s="8">
        <v>450000</v>
      </c>
      <c r="I19" s="17">
        <f t="shared" si="1"/>
        <v>900000</v>
      </c>
      <c r="O19" s="4"/>
      <c r="P19" s="4"/>
    </row>
    <row r="20" spans="2:16" x14ac:dyDescent="0.25">
      <c r="B20" s="16">
        <v>45664</v>
      </c>
      <c r="C20" s="7" t="str">
        <f t="shared" si="0"/>
        <v>INV/2026/0015</v>
      </c>
      <c r="D20" s="7" t="s">
        <v>40</v>
      </c>
      <c r="E20" s="7" t="s">
        <v>41</v>
      </c>
      <c r="F20" s="7" t="s">
        <v>31</v>
      </c>
      <c r="G20" s="10">
        <v>4</v>
      </c>
      <c r="H20" s="8">
        <v>140000</v>
      </c>
      <c r="I20" s="17">
        <f t="shared" si="1"/>
        <v>560000</v>
      </c>
      <c r="O20" s="4"/>
      <c r="P20" s="4"/>
    </row>
    <row r="21" spans="2:16" x14ac:dyDescent="0.25">
      <c r="B21" s="16">
        <v>45664</v>
      </c>
      <c r="C21" s="7" t="str">
        <f t="shared" si="0"/>
        <v>INV/2026/0016</v>
      </c>
      <c r="D21" s="7" t="s">
        <v>42</v>
      </c>
      <c r="E21" s="7" t="s">
        <v>43</v>
      </c>
      <c r="F21" s="7" t="s">
        <v>31</v>
      </c>
      <c r="G21" s="10">
        <v>2</v>
      </c>
      <c r="H21" s="8">
        <v>300000</v>
      </c>
      <c r="I21" s="17">
        <f t="shared" si="1"/>
        <v>600000</v>
      </c>
      <c r="O21" s="4"/>
      <c r="P21" s="4"/>
    </row>
    <row r="22" spans="2:16" x14ac:dyDescent="0.25">
      <c r="B22" s="16">
        <v>45665</v>
      </c>
      <c r="C22" s="7" t="str">
        <f t="shared" si="0"/>
        <v>INV/2026/0017</v>
      </c>
      <c r="D22" s="7" t="s">
        <v>44</v>
      </c>
      <c r="E22" s="7" t="s">
        <v>45</v>
      </c>
      <c r="F22" s="7" t="s">
        <v>31</v>
      </c>
      <c r="G22" s="10">
        <v>4</v>
      </c>
      <c r="H22" s="8">
        <v>220000</v>
      </c>
      <c r="I22" s="17">
        <f t="shared" si="1"/>
        <v>880000</v>
      </c>
      <c r="O22" s="4"/>
      <c r="P22" s="4"/>
    </row>
    <row r="23" spans="2:16" x14ac:dyDescent="0.25">
      <c r="B23" s="16">
        <v>45665</v>
      </c>
      <c r="C23" s="7" t="str">
        <f t="shared" si="0"/>
        <v>INV/2026/0018</v>
      </c>
      <c r="D23" s="7" t="s">
        <v>46</v>
      </c>
      <c r="E23" s="7" t="s">
        <v>47</v>
      </c>
      <c r="F23" s="7" t="s">
        <v>31</v>
      </c>
      <c r="G23" s="10">
        <v>1</v>
      </c>
      <c r="H23" s="8">
        <v>280000</v>
      </c>
      <c r="I23" s="17">
        <f t="shared" si="1"/>
        <v>280000</v>
      </c>
      <c r="O23" s="4"/>
      <c r="P23" s="4"/>
    </row>
    <row r="24" spans="2:16" x14ac:dyDescent="0.25">
      <c r="B24" s="16">
        <v>45665</v>
      </c>
      <c r="C24" s="7" t="str">
        <f t="shared" si="0"/>
        <v>INV/2026/0019</v>
      </c>
      <c r="D24" s="7" t="s">
        <v>48</v>
      </c>
      <c r="E24" s="7" t="s">
        <v>13</v>
      </c>
      <c r="F24" s="7" t="s">
        <v>31</v>
      </c>
      <c r="G24" s="10">
        <v>1</v>
      </c>
      <c r="H24" s="8">
        <v>650000</v>
      </c>
      <c r="I24" s="17">
        <f t="shared" si="1"/>
        <v>650000</v>
      </c>
      <c r="O24" s="4"/>
      <c r="P24" s="4"/>
    </row>
    <row r="25" spans="2:16" x14ac:dyDescent="0.25">
      <c r="B25" s="16">
        <v>45665</v>
      </c>
      <c r="C25" s="7" t="str">
        <f t="shared" si="0"/>
        <v>INV/2026/0020</v>
      </c>
      <c r="D25" s="7" t="s">
        <v>49</v>
      </c>
      <c r="E25" s="7" t="s">
        <v>17</v>
      </c>
      <c r="F25" s="7" t="s">
        <v>31</v>
      </c>
      <c r="G25" s="10">
        <v>5</v>
      </c>
      <c r="H25" s="8">
        <v>450000</v>
      </c>
      <c r="I25" s="17">
        <f t="shared" si="1"/>
        <v>2250000</v>
      </c>
      <c r="O25" s="4"/>
      <c r="P25" s="4"/>
    </row>
    <row r="26" spans="2:16" x14ac:dyDescent="0.25">
      <c r="B26" s="16">
        <v>45666</v>
      </c>
      <c r="C26" s="7" t="str">
        <f t="shared" si="0"/>
        <v>INV/2026/0021</v>
      </c>
      <c r="D26" s="7" t="s">
        <v>50</v>
      </c>
      <c r="E26" s="7" t="s">
        <v>51</v>
      </c>
      <c r="F26" s="7" t="s">
        <v>31</v>
      </c>
      <c r="G26" s="10">
        <v>2</v>
      </c>
      <c r="H26" s="8">
        <v>300000</v>
      </c>
      <c r="I26" s="17">
        <f t="shared" si="1"/>
        <v>600000</v>
      </c>
    </row>
    <row r="27" spans="2:16" x14ac:dyDescent="0.25">
      <c r="B27" s="16">
        <v>45666</v>
      </c>
      <c r="C27" s="7" t="str">
        <f t="shared" si="0"/>
        <v>INV/2026/0022</v>
      </c>
      <c r="D27" s="7" t="s">
        <v>52</v>
      </c>
      <c r="E27" s="7" t="s">
        <v>16</v>
      </c>
      <c r="F27" s="7" t="s">
        <v>33</v>
      </c>
      <c r="G27" s="10">
        <v>4</v>
      </c>
      <c r="H27" s="8">
        <v>950000</v>
      </c>
      <c r="I27" s="17">
        <f t="shared" si="1"/>
        <v>3800000</v>
      </c>
    </row>
    <row r="28" spans="2:16" x14ac:dyDescent="0.25">
      <c r="B28" s="16">
        <v>45666</v>
      </c>
      <c r="C28" s="7" t="str">
        <f t="shared" si="0"/>
        <v>INV/2026/0023</v>
      </c>
      <c r="D28" s="7" t="s">
        <v>53</v>
      </c>
      <c r="E28" s="7" t="s">
        <v>45</v>
      </c>
      <c r="F28" s="7" t="s">
        <v>31</v>
      </c>
      <c r="G28" s="10">
        <v>2</v>
      </c>
      <c r="H28" s="8">
        <v>220000</v>
      </c>
      <c r="I28" s="17">
        <f t="shared" si="1"/>
        <v>440000</v>
      </c>
    </row>
    <row r="29" spans="2:16" x14ac:dyDescent="0.25">
      <c r="B29" s="16">
        <v>45666</v>
      </c>
      <c r="C29" s="7" t="str">
        <f t="shared" si="0"/>
        <v>INV/2026/0024</v>
      </c>
      <c r="D29" s="7" t="s">
        <v>54</v>
      </c>
      <c r="E29" s="7" t="s">
        <v>17</v>
      </c>
      <c r="F29" s="7" t="s">
        <v>31</v>
      </c>
      <c r="G29" s="10">
        <v>5</v>
      </c>
      <c r="H29" s="8">
        <v>140000</v>
      </c>
      <c r="I29" s="17">
        <f t="shared" si="1"/>
        <v>700000</v>
      </c>
    </row>
    <row r="30" spans="2:16" x14ac:dyDescent="0.25">
      <c r="B30" s="16">
        <v>45666</v>
      </c>
      <c r="C30" s="7" t="str">
        <f t="shared" si="0"/>
        <v>INV/2026/0025</v>
      </c>
      <c r="D30" s="7" t="s">
        <v>55</v>
      </c>
      <c r="E30" s="7" t="s">
        <v>18</v>
      </c>
      <c r="F30" s="7" t="s">
        <v>31</v>
      </c>
      <c r="G30" s="10">
        <v>1</v>
      </c>
      <c r="H30" s="8">
        <v>380000</v>
      </c>
      <c r="I30" s="17">
        <f t="shared" si="1"/>
        <v>380000</v>
      </c>
      <c r="J30" s="5"/>
    </row>
    <row r="31" spans="2:16" x14ac:dyDescent="0.25">
      <c r="B31" s="16">
        <v>45666</v>
      </c>
      <c r="C31" s="7" t="str">
        <f t="shared" si="0"/>
        <v>INV/2026/0026</v>
      </c>
      <c r="D31" s="7" t="s">
        <v>56</v>
      </c>
      <c r="E31" s="7" t="s">
        <v>57</v>
      </c>
      <c r="F31" s="7" t="s">
        <v>31</v>
      </c>
      <c r="G31" s="10">
        <v>2</v>
      </c>
      <c r="H31" s="8">
        <v>1200000</v>
      </c>
      <c r="I31" s="17">
        <f t="shared" si="1"/>
        <v>2400000</v>
      </c>
    </row>
    <row r="32" spans="2:16" x14ac:dyDescent="0.25">
      <c r="B32" s="16">
        <v>45667</v>
      </c>
      <c r="C32" s="7" t="str">
        <f t="shared" si="0"/>
        <v>INV/2026/0027</v>
      </c>
      <c r="D32" s="7" t="s">
        <v>58</v>
      </c>
      <c r="E32" s="7" t="s">
        <v>57</v>
      </c>
      <c r="F32" s="7" t="s">
        <v>31</v>
      </c>
      <c r="G32" s="10">
        <v>1</v>
      </c>
      <c r="H32" s="8">
        <v>1200000</v>
      </c>
      <c r="I32" s="17">
        <f t="shared" si="1"/>
        <v>1200000</v>
      </c>
    </row>
    <row r="33" spans="2:9" x14ac:dyDescent="0.25">
      <c r="B33" s="16">
        <v>45940</v>
      </c>
      <c r="C33" s="7" t="str">
        <f t="shared" si="0"/>
        <v>INV/2026/0028</v>
      </c>
      <c r="D33" s="7" t="s">
        <v>59</v>
      </c>
      <c r="E33" s="7" t="s">
        <v>60</v>
      </c>
      <c r="F33" s="7" t="s">
        <v>61</v>
      </c>
      <c r="G33" s="10">
        <v>4</v>
      </c>
      <c r="H33" s="8">
        <v>450000</v>
      </c>
      <c r="I33" s="17">
        <f t="shared" si="1"/>
        <v>1800000</v>
      </c>
    </row>
    <row r="34" spans="2:9" x14ac:dyDescent="0.25">
      <c r="B34" s="16">
        <v>45668</v>
      </c>
      <c r="C34" s="7" t="str">
        <f t="shared" si="0"/>
        <v>INV/2026/0029</v>
      </c>
      <c r="D34" s="7" t="s">
        <v>62</v>
      </c>
      <c r="E34" s="7" t="s">
        <v>15</v>
      </c>
      <c r="F34" s="7" t="s">
        <v>31</v>
      </c>
      <c r="G34" s="10">
        <v>3</v>
      </c>
      <c r="H34" s="8">
        <v>550000</v>
      </c>
      <c r="I34" s="17">
        <f t="shared" si="1"/>
        <v>1650000</v>
      </c>
    </row>
    <row r="35" spans="2:9" x14ac:dyDescent="0.25">
      <c r="B35" s="16">
        <v>45668</v>
      </c>
      <c r="C35" s="7" t="str">
        <f t="shared" si="0"/>
        <v>INV/2026/0030</v>
      </c>
      <c r="D35" s="7" t="s">
        <v>28</v>
      </c>
      <c r="E35" s="7" t="s">
        <v>17</v>
      </c>
      <c r="F35" s="9" t="s">
        <v>31</v>
      </c>
      <c r="G35" s="10">
        <v>3</v>
      </c>
      <c r="H35" s="8">
        <v>450000</v>
      </c>
      <c r="I35" s="17">
        <f t="shared" si="1"/>
        <v>1350000</v>
      </c>
    </row>
    <row r="36" spans="2:9" x14ac:dyDescent="0.25">
      <c r="B36" s="16">
        <v>45669</v>
      </c>
      <c r="C36" s="7" t="str">
        <f t="shared" si="0"/>
        <v>INV/2026/0031</v>
      </c>
      <c r="D36" s="7" t="s">
        <v>63</v>
      </c>
      <c r="E36" s="7" t="s">
        <v>16</v>
      </c>
      <c r="F36" s="7" t="s">
        <v>33</v>
      </c>
      <c r="G36" s="10">
        <v>4</v>
      </c>
      <c r="H36" s="8">
        <v>950000</v>
      </c>
      <c r="I36" s="17">
        <f t="shared" si="1"/>
        <v>3800000</v>
      </c>
    </row>
    <row r="37" spans="2:9" x14ac:dyDescent="0.25">
      <c r="B37" s="16">
        <v>45669</v>
      </c>
      <c r="C37" s="7" t="str">
        <f t="shared" si="0"/>
        <v>INV/2026/0032</v>
      </c>
      <c r="D37" s="7" t="s">
        <v>64</v>
      </c>
      <c r="E37" s="7" t="s">
        <v>17</v>
      </c>
      <c r="F37" s="7" t="s">
        <v>31</v>
      </c>
      <c r="G37" s="10">
        <v>3</v>
      </c>
      <c r="H37" s="8">
        <v>450000</v>
      </c>
      <c r="I37" s="17">
        <f t="shared" si="1"/>
        <v>1350000</v>
      </c>
    </row>
    <row r="38" spans="2:9" x14ac:dyDescent="0.25">
      <c r="B38" s="16">
        <v>45670</v>
      </c>
      <c r="C38" s="7" t="str">
        <f t="shared" si="0"/>
        <v>INV/2026/0033</v>
      </c>
      <c r="D38" s="7" t="s">
        <v>65</v>
      </c>
      <c r="E38" s="7" t="s">
        <v>16</v>
      </c>
      <c r="F38" s="7" t="s">
        <v>33</v>
      </c>
      <c r="G38" s="10">
        <v>2</v>
      </c>
      <c r="H38" s="8">
        <v>950000</v>
      </c>
      <c r="I38" s="17">
        <f t="shared" si="1"/>
        <v>1900000</v>
      </c>
    </row>
    <row r="39" spans="2:9" x14ac:dyDescent="0.25">
      <c r="B39" s="16">
        <v>45670</v>
      </c>
      <c r="C39" s="7" t="str">
        <f t="shared" si="0"/>
        <v>INV/2026/0034</v>
      </c>
      <c r="D39" s="7" t="s">
        <v>66</v>
      </c>
      <c r="E39" s="7" t="s">
        <v>45</v>
      </c>
      <c r="F39" s="7" t="s">
        <v>31</v>
      </c>
      <c r="G39" s="10">
        <v>3</v>
      </c>
      <c r="H39" s="8">
        <v>220000</v>
      </c>
      <c r="I39" s="17">
        <f t="shared" si="1"/>
        <v>660000</v>
      </c>
    </row>
    <row r="40" spans="2:9" x14ac:dyDescent="0.25">
      <c r="B40" s="16">
        <v>45670</v>
      </c>
      <c r="C40" s="7" t="str">
        <f t="shared" si="0"/>
        <v>INV/2026/0035</v>
      </c>
      <c r="D40" s="7" t="s">
        <v>67</v>
      </c>
      <c r="E40" s="7" t="s">
        <v>60</v>
      </c>
      <c r="F40" s="7" t="s">
        <v>61</v>
      </c>
      <c r="G40" s="10">
        <v>2</v>
      </c>
      <c r="H40" s="8">
        <v>450000</v>
      </c>
      <c r="I40" s="17">
        <f t="shared" si="1"/>
        <v>900000</v>
      </c>
    </row>
    <row r="41" spans="2:9" x14ac:dyDescent="0.25">
      <c r="B41" s="16">
        <v>45670</v>
      </c>
      <c r="C41" s="7" t="str">
        <f t="shared" si="0"/>
        <v>INV/2026/0036</v>
      </c>
      <c r="D41" s="7" t="s">
        <v>68</v>
      </c>
      <c r="E41" s="7" t="s">
        <v>18</v>
      </c>
      <c r="F41" s="7" t="s">
        <v>31</v>
      </c>
      <c r="G41" s="10">
        <v>2</v>
      </c>
      <c r="H41" s="8">
        <v>380000</v>
      </c>
      <c r="I41" s="17">
        <f t="shared" si="1"/>
        <v>760000</v>
      </c>
    </row>
    <row r="42" spans="2:9" x14ac:dyDescent="0.25">
      <c r="B42" s="16">
        <v>45670</v>
      </c>
      <c r="C42" s="7" t="str">
        <f t="shared" si="0"/>
        <v>INV/2026/0037</v>
      </c>
      <c r="D42" s="7" t="s">
        <v>69</v>
      </c>
      <c r="E42" s="7" t="s">
        <v>41</v>
      </c>
      <c r="F42" s="7" t="s">
        <v>31</v>
      </c>
      <c r="G42" s="10">
        <v>2</v>
      </c>
      <c r="H42" s="8">
        <v>140000</v>
      </c>
      <c r="I42" s="17">
        <f t="shared" si="1"/>
        <v>280000</v>
      </c>
    </row>
    <row r="43" spans="2:9" x14ac:dyDescent="0.25">
      <c r="B43" s="16">
        <v>45670</v>
      </c>
      <c r="C43" s="7" t="str">
        <f t="shared" si="0"/>
        <v>INV/2026/0038</v>
      </c>
      <c r="D43" s="7" t="s">
        <v>70</v>
      </c>
      <c r="E43" s="7" t="s">
        <v>71</v>
      </c>
      <c r="F43" s="7" t="s">
        <v>31</v>
      </c>
      <c r="G43" s="10">
        <v>5</v>
      </c>
      <c r="H43" s="8">
        <v>180000</v>
      </c>
      <c r="I43" s="17">
        <f t="shared" si="1"/>
        <v>900000</v>
      </c>
    </row>
    <row r="44" spans="2:9" x14ac:dyDescent="0.25">
      <c r="B44" s="16">
        <v>45670</v>
      </c>
      <c r="C44" s="7" t="str">
        <f t="shared" si="0"/>
        <v>INV/2026/0039</v>
      </c>
      <c r="D44" s="7" t="s">
        <v>72</v>
      </c>
      <c r="E44" s="7" t="s">
        <v>11</v>
      </c>
      <c r="F44" s="7" t="s">
        <v>34</v>
      </c>
      <c r="G44" s="10">
        <v>1</v>
      </c>
      <c r="H44" s="8">
        <v>820000</v>
      </c>
      <c r="I44" s="17">
        <f t="shared" si="1"/>
        <v>820000</v>
      </c>
    </row>
    <row r="45" spans="2:9" x14ac:dyDescent="0.25">
      <c r="B45" s="16">
        <v>45671</v>
      </c>
      <c r="C45" s="7" t="str">
        <f t="shared" si="0"/>
        <v>INV/2026/0040</v>
      </c>
      <c r="D45" s="7" t="s">
        <v>73</v>
      </c>
      <c r="E45" s="7" t="s">
        <v>71</v>
      </c>
      <c r="F45" s="7" t="s">
        <v>31</v>
      </c>
      <c r="G45" s="10">
        <v>1</v>
      </c>
      <c r="H45" s="8">
        <v>180000</v>
      </c>
      <c r="I45" s="17">
        <f t="shared" si="1"/>
        <v>180000</v>
      </c>
    </row>
    <row r="46" spans="2:9" x14ac:dyDescent="0.25">
      <c r="B46" s="16">
        <v>45671</v>
      </c>
      <c r="C46" s="7" t="str">
        <f t="shared" si="0"/>
        <v>INV/2026/0041</v>
      </c>
      <c r="D46" s="7" t="s">
        <v>74</v>
      </c>
      <c r="E46" s="7" t="s">
        <v>75</v>
      </c>
      <c r="F46" s="7" t="s">
        <v>33</v>
      </c>
      <c r="G46" s="10">
        <v>2</v>
      </c>
      <c r="H46" s="8">
        <v>750000</v>
      </c>
      <c r="I46" s="17">
        <f t="shared" si="1"/>
        <v>1500000</v>
      </c>
    </row>
    <row r="47" spans="2:9" x14ac:dyDescent="0.25">
      <c r="B47" s="16">
        <v>45671</v>
      </c>
      <c r="C47" s="7" t="str">
        <f t="shared" si="0"/>
        <v>INV/2026/0042</v>
      </c>
      <c r="D47" s="7" t="s">
        <v>76</v>
      </c>
      <c r="E47" s="7" t="s">
        <v>57</v>
      </c>
      <c r="F47" s="7" t="s">
        <v>31</v>
      </c>
      <c r="G47" s="10">
        <v>3</v>
      </c>
      <c r="H47" s="8">
        <v>1800000</v>
      </c>
      <c r="I47" s="17">
        <f t="shared" si="1"/>
        <v>5400000</v>
      </c>
    </row>
    <row r="48" spans="2:9" x14ac:dyDescent="0.25">
      <c r="B48" s="16">
        <v>45671</v>
      </c>
      <c r="C48" s="7" t="str">
        <f t="shared" si="0"/>
        <v>INV/2026/0043</v>
      </c>
      <c r="D48" s="7" t="s">
        <v>77</v>
      </c>
      <c r="E48" s="7" t="s">
        <v>14</v>
      </c>
      <c r="F48" s="7" t="s">
        <v>32</v>
      </c>
      <c r="G48" s="10">
        <v>1</v>
      </c>
      <c r="H48" s="8">
        <v>2500000</v>
      </c>
      <c r="I48" s="17">
        <f t="shared" si="1"/>
        <v>2500000</v>
      </c>
    </row>
    <row r="49" spans="2:9" x14ac:dyDescent="0.25">
      <c r="B49" s="16">
        <v>45671</v>
      </c>
      <c r="C49" s="7" t="str">
        <f t="shared" si="0"/>
        <v>INV/2026/0044</v>
      </c>
      <c r="D49" s="7" t="s">
        <v>78</v>
      </c>
      <c r="E49" s="7" t="s">
        <v>13</v>
      </c>
      <c r="F49" s="7" t="s">
        <v>31</v>
      </c>
      <c r="G49" s="10">
        <v>9</v>
      </c>
      <c r="H49" s="8">
        <v>650000</v>
      </c>
      <c r="I49" s="17">
        <f t="shared" si="1"/>
        <v>5850000</v>
      </c>
    </row>
    <row r="50" spans="2:9" x14ac:dyDescent="0.25">
      <c r="B50" s="16">
        <v>45672</v>
      </c>
      <c r="C50" s="7" t="str">
        <f t="shared" si="0"/>
        <v>INV/2026/0045</v>
      </c>
      <c r="D50" s="7" t="s">
        <v>24</v>
      </c>
      <c r="E50" s="7" t="s">
        <v>15</v>
      </c>
      <c r="F50" s="7" t="s">
        <v>31</v>
      </c>
      <c r="G50" s="10">
        <v>1</v>
      </c>
      <c r="H50" s="8">
        <v>550000</v>
      </c>
      <c r="I50" s="17">
        <f t="shared" si="1"/>
        <v>550000</v>
      </c>
    </row>
    <row r="51" spans="2:9" x14ac:dyDescent="0.25">
      <c r="B51" s="16">
        <v>45672</v>
      </c>
      <c r="C51" s="7" t="str">
        <f t="shared" si="0"/>
        <v>INV/2026/0046</v>
      </c>
      <c r="D51" s="7" t="s">
        <v>25</v>
      </c>
      <c r="E51" s="7" t="s">
        <v>16</v>
      </c>
      <c r="F51" s="7" t="s">
        <v>33</v>
      </c>
      <c r="G51" s="10">
        <v>3</v>
      </c>
      <c r="H51" s="8">
        <v>950000</v>
      </c>
      <c r="I51" s="17">
        <f t="shared" si="1"/>
        <v>2850000</v>
      </c>
    </row>
    <row r="52" spans="2:9" x14ac:dyDescent="0.25">
      <c r="B52" s="16">
        <v>45672</v>
      </c>
      <c r="C52" s="7" t="str">
        <f t="shared" si="0"/>
        <v>INV/2026/0047</v>
      </c>
      <c r="D52" s="7" t="s">
        <v>26</v>
      </c>
      <c r="E52" s="7" t="s">
        <v>17</v>
      </c>
      <c r="F52" s="7" t="s">
        <v>31</v>
      </c>
      <c r="G52" s="10">
        <v>1</v>
      </c>
      <c r="H52" s="8">
        <v>450000</v>
      </c>
      <c r="I52" s="17">
        <f t="shared" si="1"/>
        <v>450000</v>
      </c>
    </row>
    <row r="53" spans="2:9" x14ac:dyDescent="0.25">
      <c r="B53" s="16">
        <v>45673</v>
      </c>
      <c r="C53" s="7" t="str">
        <f t="shared" si="0"/>
        <v>INV/2026/0048</v>
      </c>
      <c r="D53" s="7" t="s">
        <v>27</v>
      </c>
      <c r="E53" s="7" t="s">
        <v>18</v>
      </c>
      <c r="F53" s="7" t="s">
        <v>31</v>
      </c>
      <c r="G53" s="10">
        <v>2</v>
      </c>
      <c r="H53" s="8">
        <v>380000</v>
      </c>
      <c r="I53" s="17">
        <f t="shared" si="1"/>
        <v>760000</v>
      </c>
    </row>
    <row r="54" spans="2:9" x14ac:dyDescent="0.25">
      <c r="B54" s="16">
        <v>45673</v>
      </c>
      <c r="C54" s="7" t="str">
        <f t="shared" si="0"/>
        <v>INV/2026/0049</v>
      </c>
      <c r="D54" s="7" t="s">
        <v>28</v>
      </c>
      <c r="E54" s="7" t="s">
        <v>11</v>
      </c>
      <c r="F54" s="7" t="s">
        <v>34</v>
      </c>
      <c r="G54" s="10">
        <v>1</v>
      </c>
      <c r="H54" s="8">
        <v>8200000</v>
      </c>
      <c r="I54" s="17">
        <f t="shared" si="1"/>
        <v>8200000</v>
      </c>
    </row>
    <row r="55" spans="2:9" x14ac:dyDescent="0.25">
      <c r="B55" s="16">
        <v>45674</v>
      </c>
      <c r="C55" s="7" t="str">
        <f t="shared" si="0"/>
        <v>INV/2026/0050</v>
      </c>
      <c r="D55" s="7" t="s">
        <v>29</v>
      </c>
      <c r="E55" s="7" t="s">
        <v>19</v>
      </c>
      <c r="F55" s="7" t="s">
        <v>33</v>
      </c>
      <c r="G55" s="10">
        <v>5</v>
      </c>
      <c r="H55" s="8">
        <v>150000</v>
      </c>
      <c r="I55" s="17">
        <f t="shared" si="1"/>
        <v>750000</v>
      </c>
    </row>
    <row r="56" spans="2:9" x14ac:dyDescent="0.25">
      <c r="B56" s="16">
        <v>45674</v>
      </c>
      <c r="C56" s="7" t="str">
        <f t="shared" si="0"/>
        <v>INV/2026/0051</v>
      </c>
      <c r="D56" s="7" t="s">
        <v>30</v>
      </c>
      <c r="E56" s="7" t="s">
        <v>35</v>
      </c>
      <c r="F56" s="7" t="s">
        <v>31</v>
      </c>
      <c r="G56" s="10">
        <v>2</v>
      </c>
      <c r="H56" s="8">
        <v>580000</v>
      </c>
      <c r="I56" s="17">
        <f t="shared" si="1"/>
        <v>1160000</v>
      </c>
    </row>
    <row r="57" spans="2:9" x14ac:dyDescent="0.25">
      <c r="B57" s="16">
        <v>45674</v>
      </c>
      <c r="C57" s="7" t="str">
        <f t="shared" si="0"/>
        <v>INV/2026/0052</v>
      </c>
      <c r="D57" s="7" t="s">
        <v>25</v>
      </c>
      <c r="E57" s="7" t="s">
        <v>13</v>
      </c>
      <c r="F57" s="7" t="s">
        <v>31</v>
      </c>
      <c r="G57" s="10">
        <v>1</v>
      </c>
      <c r="H57" s="8">
        <v>1500000</v>
      </c>
      <c r="I57" s="17">
        <f t="shared" si="1"/>
        <v>1500000</v>
      </c>
    </row>
    <row r="58" spans="2:9" x14ac:dyDescent="0.25">
      <c r="B58" s="16">
        <v>45674</v>
      </c>
      <c r="C58" s="7" t="str">
        <f t="shared" si="0"/>
        <v>INV/2026/0053</v>
      </c>
      <c r="D58" s="7" t="s">
        <v>36</v>
      </c>
      <c r="E58" s="7" t="s">
        <v>37</v>
      </c>
      <c r="F58" s="7" t="s">
        <v>38</v>
      </c>
      <c r="G58" s="10">
        <v>5</v>
      </c>
      <c r="H58" s="8">
        <v>1500000</v>
      </c>
      <c r="I58" s="17">
        <f t="shared" si="1"/>
        <v>7500000</v>
      </c>
    </row>
    <row r="59" spans="2:9" x14ac:dyDescent="0.25">
      <c r="B59" s="16">
        <v>45674</v>
      </c>
      <c r="C59" s="7" t="str">
        <f t="shared" si="0"/>
        <v>INV/2026/0054</v>
      </c>
      <c r="D59" s="7" t="s">
        <v>39</v>
      </c>
      <c r="E59" s="7" t="s">
        <v>17</v>
      </c>
      <c r="F59" s="7" t="s">
        <v>31</v>
      </c>
      <c r="G59" s="10">
        <v>2</v>
      </c>
      <c r="H59" s="8">
        <v>450000</v>
      </c>
      <c r="I59" s="17">
        <f t="shared" si="1"/>
        <v>900000</v>
      </c>
    </row>
    <row r="60" spans="2:9" x14ac:dyDescent="0.25">
      <c r="B60" s="16">
        <v>45674</v>
      </c>
      <c r="C60" s="7" t="str">
        <f t="shared" si="0"/>
        <v>INV/2026/0055</v>
      </c>
      <c r="D60" s="7" t="s">
        <v>40</v>
      </c>
      <c r="E60" s="7" t="s">
        <v>41</v>
      </c>
      <c r="F60" s="7" t="s">
        <v>31</v>
      </c>
      <c r="G60" s="10">
        <v>4</v>
      </c>
      <c r="H60" s="8">
        <v>140000</v>
      </c>
      <c r="I60" s="17">
        <f t="shared" si="1"/>
        <v>560000</v>
      </c>
    </row>
    <row r="61" spans="2:9" x14ac:dyDescent="0.25">
      <c r="B61" s="16">
        <v>45675</v>
      </c>
      <c r="C61" s="7" t="str">
        <f t="shared" si="0"/>
        <v>INV/2026/0056</v>
      </c>
      <c r="D61" s="7" t="s">
        <v>42</v>
      </c>
      <c r="E61" s="7" t="s">
        <v>43</v>
      </c>
      <c r="F61" s="7" t="s">
        <v>31</v>
      </c>
      <c r="G61" s="10">
        <v>2</v>
      </c>
      <c r="H61" s="8">
        <v>300000</v>
      </c>
      <c r="I61" s="17">
        <f t="shared" si="1"/>
        <v>600000</v>
      </c>
    </row>
    <row r="62" spans="2:9" x14ac:dyDescent="0.25">
      <c r="B62" s="16">
        <v>45675</v>
      </c>
      <c r="C62" s="7" t="str">
        <f t="shared" si="0"/>
        <v>INV/2026/0057</v>
      </c>
      <c r="D62" s="7" t="s">
        <v>44</v>
      </c>
      <c r="E62" s="7" t="s">
        <v>45</v>
      </c>
      <c r="F62" s="7" t="s">
        <v>31</v>
      </c>
      <c r="G62" s="10">
        <v>4</v>
      </c>
      <c r="H62" s="8">
        <v>220000</v>
      </c>
      <c r="I62" s="17">
        <f t="shared" si="1"/>
        <v>880000</v>
      </c>
    </row>
    <row r="63" spans="2:9" x14ac:dyDescent="0.25">
      <c r="B63" s="16">
        <v>45675</v>
      </c>
      <c r="C63" s="7" t="str">
        <f t="shared" si="0"/>
        <v>INV/2026/0058</v>
      </c>
      <c r="D63" s="7" t="s">
        <v>46</v>
      </c>
      <c r="E63" s="7" t="s">
        <v>47</v>
      </c>
      <c r="F63" s="7" t="s">
        <v>31</v>
      </c>
      <c r="G63" s="10">
        <v>1</v>
      </c>
      <c r="H63" s="8">
        <v>280000</v>
      </c>
      <c r="I63" s="17">
        <f t="shared" si="1"/>
        <v>280000</v>
      </c>
    </row>
    <row r="64" spans="2:9" x14ac:dyDescent="0.25">
      <c r="B64" s="16">
        <v>45675</v>
      </c>
      <c r="C64" s="7" t="str">
        <f t="shared" si="0"/>
        <v>INV/2026/0059</v>
      </c>
      <c r="D64" s="7" t="s">
        <v>48</v>
      </c>
      <c r="E64" s="7" t="s">
        <v>13</v>
      </c>
      <c r="F64" s="7" t="s">
        <v>31</v>
      </c>
      <c r="G64" s="10">
        <v>1</v>
      </c>
      <c r="H64" s="8">
        <v>650000</v>
      </c>
      <c r="I64" s="17">
        <f t="shared" si="1"/>
        <v>650000</v>
      </c>
    </row>
    <row r="65" spans="2:9" x14ac:dyDescent="0.25">
      <c r="B65" s="16">
        <v>45675</v>
      </c>
      <c r="C65" s="7" t="str">
        <f t="shared" si="0"/>
        <v>INV/2026/0060</v>
      </c>
      <c r="D65" s="7" t="s">
        <v>49</v>
      </c>
      <c r="E65" s="7" t="s">
        <v>17</v>
      </c>
      <c r="F65" s="7" t="s">
        <v>31</v>
      </c>
      <c r="G65" s="10">
        <v>5</v>
      </c>
      <c r="H65" s="8">
        <v>450000</v>
      </c>
      <c r="I65" s="17">
        <f t="shared" si="1"/>
        <v>2250000</v>
      </c>
    </row>
    <row r="66" spans="2:9" x14ac:dyDescent="0.25">
      <c r="B66" s="16">
        <v>45676</v>
      </c>
      <c r="C66" s="7" t="str">
        <f t="shared" si="0"/>
        <v>INV/2026/0061</v>
      </c>
      <c r="D66" s="7" t="s">
        <v>50</v>
      </c>
      <c r="E66" s="7" t="s">
        <v>51</v>
      </c>
      <c r="F66" s="7" t="s">
        <v>31</v>
      </c>
      <c r="G66" s="10">
        <v>2</v>
      </c>
      <c r="H66" s="8">
        <v>300000</v>
      </c>
      <c r="I66" s="17">
        <f t="shared" si="1"/>
        <v>600000</v>
      </c>
    </row>
    <row r="67" spans="2:9" x14ac:dyDescent="0.25">
      <c r="B67" s="16">
        <v>45676</v>
      </c>
      <c r="C67" s="7" t="str">
        <f t="shared" si="0"/>
        <v>INV/2026/0062</v>
      </c>
      <c r="D67" s="7" t="s">
        <v>52</v>
      </c>
      <c r="E67" s="7" t="s">
        <v>16</v>
      </c>
      <c r="F67" s="7" t="s">
        <v>33</v>
      </c>
      <c r="G67" s="10">
        <v>4</v>
      </c>
      <c r="H67" s="8">
        <v>950000</v>
      </c>
      <c r="I67" s="17">
        <f t="shared" si="1"/>
        <v>3800000</v>
      </c>
    </row>
    <row r="68" spans="2:9" x14ac:dyDescent="0.25">
      <c r="B68" s="16">
        <v>45676</v>
      </c>
      <c r="C68" s="7" t="str">
        <f t="shared" si="0"/>
        <v>INV/2026/0063</v>
      </c>
      <c r="D68" s="7" t="s">
        <v>53</v>
      </c>
      <c r="E68" s="7" t="s">
        <v>45</v>
      </c>
      <c r="F68" s="7" t="s">
        <v>31</v>
      </c>
      <c r="G68" s="10">
        <v>2</v>
      </c>
      <c r="H68" s="8">
        <v>220000</v>
      </c>
      <c r="I68" s="17">
        <f t="shared" si="1"/>
        <v>440000</v>
      </c>
    </row>
    <row r="69" spans="2:9" x14ac:dyDescent="0.25">
      <c r="B69" s="16">
        <v>45677</v>
      </c>
      <c r="C69" s="7" t="str">
        <f t="shared" si="0"/>
        <v>INV/2026/0064</v>
      </c>
      <c r="D69" s="7" t="s">
        <v>54</v>
      </c>
      <c r="E69" s="7" t="s">
        <v>17</v>
      </c>
      <c r="F69" s="7" t="s">
        <v>31</v>
      </c>
      <c r="G69" s="10">
        <v>5</v>
      </c>
      <c r="H69" s="8">
        <v>140000</v>
      </c>
      <c r="I69" s="17">
        <f t="shared" si="1"/>
        <v>700000</v>
      </c>
    </row>
    <row r="70" spans="2:9" x14ac:dyDescent="0.25">
      <c r="B70" s="16">
        <v>45677</v>
      </c>
      <c r="C70" s="7" t="str">
        <f t="shared" si="0"/>
        <v>INV/2026/0065</v>
      </c>
      <c r="D70" s="7" t="s">
        <v>55</v>
      </c>
      <c r="E70" s="7" t="s">
        <v>18</v>
      </c>
      <c r="F70" s="7" t="s">
        <v>31</v>
      </c>
      <c r="G70" s="10">
        <v>1</v>
      </c>
      <c r="H70" s="8">
        <v>380000</v>
      </c>
      <c r="I70" s="17">
        <f t="shared" si="1"/>
        <v>380000</v>
      </c>
    </row>
    <row r="71" spans="2:9" x14ac:dyDescent="0.25">
      <c r="B71" s="16">
        <v>45677</v>
      </c>
      <c r="C71" s="7" t="str">
        <f>"INV/2026/"&amp;TEXT(ROW()-5,"0000")</f>
        <v>INV/2026/0066</v>
      </c>
      <c r="D71" s="7" t="s">
        <v>56</v>
      </c>
      <c r="E71" s="7" t="s">
        <v>57</v>
      </c>
      <c r="F71" s="7" t="s">
        <v>31</v>
      </c>
      <c r="G71" s="10">
        <v>2</v>
      </c>
      <c r="H71" s="8">
        <v>1200000</v>
      </c>
      <c r="I71" s="17">
        <f t="shared" ref="I71:I102" si="2">IFERROR(G71*H71,"")</f>
        <v>2400000</v>
      </c>
    </row>
    <row r="72" spans="2:9" x14ac:dyDescent="0.25">
      <c r="B72" s="16">
        <v>45677</v>
      </c>
      <c r="C72" s="7" t="str">
        <f>"INV/2026/"&amp;TEXT(ROW()-5,"0000")</f>
        <v>INV/2026/0067</v>
      </c>
      <c r="D72" s="7" t="s">
        <v>58</v>
      </c>
      <c r="E72" s="7" t="s">
        <v>57</v>
      </c>
      <c r="F72" s="7" t="s">
        <v>31</v>
      </c>
      <c r="G72" s="10">
        <v>1</v>
      </c>
      <c r="H72" s="8">
        <v>1200000</v>
      </c>
      <c r="I72" s="17">
        <f t="shared" si="2"/>
        <v>1200000</v>
      </c>
    </row>
    <row r="73" spans="2:9" x14ac:dyDescent="0.25">
      <c r="B73" s="16">
        <v>45678</v>
      </c>
      <c r="C73" s="7" t="str">
        <f>"INV/2026/"&amp;TEXT(ROW()-5,"0000")</f>
        <v>INV/2026/0068</v>
      </c>
      <c r="D73" s="7" t="s">
        <v>59</v>
      </c>
      <c r="E73" s="7" t="s">
        <v>60</v>
      </c>
      <c r="F73" s="7" t="s">
        <v>61</v>
      </c>
      <c r="G73" s="10">
        <v>4</v>
      </c>
      <c r="H73" s="8">
        <v>450000</v>
      </c>
      <c r="I73" s="17">
        <f t="shared" si="2"/>
        <v>1800000</v>
      </c>
    </row>
    <row r="74" spans="2:9" x14ac:dyDescent="0.25">
      <c r="B74" s="16">
        <v>45678</v>
      </c>
      <c r="C74" s="7" t="str">
        <f t="shared" ref="C74:C102" si="3">"INV/2026/"&amp;TEXT(ROW()-5,"0000")</f>
        <v>INV/2026/0069</v>
      </c>
      <c r="D74" s="7" t="s">
        <v>62</v>
      </c>
      <c r="E74" s="7" t="s">
        <v>15</v>
      </c>
      <c r="F74" s="7" t="s">
        <v>31</v>
      </c>
      <c r="G74" s="10">
        <v>3</v>
      </c>
      <c r="H74" s="8">
        <v>550000</v>
      </c>
      <c r="I74" s="17">
        <f t="shared" si="2"/>
        <v>1650000</v>
      </c>
    </row>
    <row r="75" spans="2:9" x14ac:dyDescent="0.25">
      <c r="B75" s="16">
        <v>45679</v>
      </c>
      <c r="C75" s="7" t="str">
        <f t="shared" si="3"/>
        <v>INV/2026/0070</v>
      </c>
      <c r="D75" s="7" t="s">
        <v>28</v>
      </c>
      <c r="E75" s="7" t="s">
        <v>17</v>
      </c>
      <c r="F75" s="9" t="s">
        <v>31</v>
      </c>
      <c r="G75" s="10">
        <v>3</v>
      </c>
      <c r="H75" s="8">
        <v>450000</v>
      </c>
      <c r="I75" s="17">
        <f t="shared" si="2"/>
        <v>1350000</v>
      </c>
    </row>
    <row r="76" spans="2:9" x14ac:dyDescent="0.25">
      <c r="B76" s="16">
        <v>45679</v>
      </c>
      <c r="C76" s="7" t="str">
        <f t="shared" si="3"/>
        <v>INV/2026/0071</v>
      </c>
      <c r="D76" s="7" t="s">
        <v>63</v>
      </c>
      <c r="E76" s="7" t="s">
        <v>16</v>
      </c>
      <c r="F76" s="7" t="s">
        <v>33</v>
      </c>
      <c r="G76" s="10">
        <v>4</v>
      </c>
      <c r="H76" s="8">
        <v>950000</v>
      </c>
      <c r="I76" s="17">
        <f t="shared" si="2"/>
        <v>3800000</v>
      </c>
    </row>
    <row r="77" spans="2:9" x14ac:dyDescent="0.25">
      <c r="B77" s="16">
        <v>45679</v>
      </c>
      <c r="C77" s="7" t="str">
        <f t="shared" si="3"/>
        <v>INV/2026/0072</v>
      </c>
      <c r="D77" s="7" t="s">
        <v>64</v>
      </c>
      <c r="E77" s="7" t="s">
        <v>17</v>
      </c>
      <c r="F77" s="7" t="s">
        <v>31</v>
      </c>
      <c r="G77" s="10">
        <v>3</v>
      </c>
      <c r="H77" s="8">
        <v>450000</v>
      </c>
      <c r="I77" s="17">
        <f t="shared" si="2"/>
        <v>1350000</v>
      </c>
    </row>
    <row r="78" spans="2:9" x14ac:dyDescent="0.25">
      <c r="B78" s="16">
        <v>45679</v>
      </c>
      <c r="C78" s="7" t="str">
        <f t="shared" si="3"/>
        <v>INV/2026/0073</v>
      </c>
      <c r="D78" s="7" t="s">
        <v>65</v>
      </c>
      <c r="E78" s="7" t="s">
        <v>16</v>
      </c>
      <c r="F78" s="7" t="s">
        <v>33</v>
      </c>
      <c r="G78" s="10">
        <v>2</v>
      </c>
      <c r="H78" s="8">
        <v>950000</v>
      </c>
      <c r="I78" s="17">
        <f t="shared" si="2"/>
        <v>1900000</v>
      </c>
    </row>
    <row r="79" spans="2:9" x14ac:dyDescent="0.25">
      <c r="B79" s="16">
        <v>45680</v>
      </c>
      <c r="C79" s="7" t="str">
        <f t="shared" si="3"/>
        <v>INV/2026/0074</v>
      </c>
      <c r="D79" s="7" t="s">
        <v>66</v>
      </c>
      <c r="E79" s="7" t="s">
        <v>45</v>
      </c>
      <c r="F79" s="7" t="s">
        <v>31</v>
      </c>
      <c r="G79" s="10">
        <v>3</v>
      </c>
      <c r="H79" s="8">
        <v>220000</v>
      </c>
      <c r="I79" s="17">
        <f t="shared" si="2"/>
        <v>660000</v>
      </c>
    </row>
    <row r="80" spans="2:9" x14ac:dyDescent="0.25">
      <c r="B80" s="16">
        <v>45680</v>
      </c>
      <c r="C80" s="7" t="str">
        <f t="shared" si="3"/>
        <v>INV/2026/0075</v>
      </c>
      <c r="D80" s="7" t="s">
        <v>67</v>
      </c>
      <c r="E80" s="7" t="s">
        <v>60</v>
      </c>
      <c r="F80" s="7" t="s">
        <v>61</v>
      </c>
      <c r="G80" s="10">
        <v>2</v>
      </c>
      <c r="H80" s="8">
        <v>450000</v>
      </c>
      <c r="I80" s="17">
        <f t="shared" si="2"/>
        <v>900000</v>
      </c>
    </row>
    <row r="81" spans="2:9" x14ac:dyDescent="0.25">
      <c r="B81" s="16">
        <v>45681</v>
      </c>
      <c r="C81" s="7" t="str">
        <f t="shared" si="3"/>
        <v>INV/2026/0076</v>
      </c>
      <c r="D81" s="7" t="s">
        <v>24</v>
      </c>
      <c r="E81" s="7" t="s">
        <v>15</v>
      </c>
      <c r="F81" s="7" t="s">
        <v>31</v>
      </c>
      <c r="G81" s="10">
        <v>1</v>
      </c>
      <c r="H81" s="8">
        <v>550000</v>
      </c>
      <c r="I81" s="17">
        <f t="shared" si="2"/>
        <v>550000</v>
      </c>
    </row>
    <row r="82" spans="2:9" x14ac:dyDescent="0.25">
      <c r="B82" s="16">
        <v>45682</v>
      </c>
      <c r="C82" s="7" t="str">
        <f t="shared" si="3"/>
        <v>INV/2026/0077</v>
      </c>
      <c r="D82" s="7" t="s">
        <v>25</v>
      </c>
      <c r="E82" s="7" t="s">
        <v>16</v>
      </c>
      <c r="F82" s="7" t="s">
        <v>33</v>
      </c>
      <c r="G82" s="10">
        <v>3</v>
      </c>
      <c r="H82" s="8">
        <v>950000</v>
      </c>
      <c r="I82" s="17">
        <f t="shared" si="2"/>
        <v>2850000</v>
      </c>
    </row>
    <row r="83" spans="2:9" x14ac:dyDescent="0.25">
      <c r="B83" s="16">
        <v>45682</v>
      </c>
      <c r="C83" s="7" t="str">
        <f t="shared" si="3"/>
        <v>INV/2026/0078</v>
      </c>
      <c r="D83" s="7" t="s">
        <v>26</v>
      </c>
      <c r="E83" s="7" t="s">
        <v>17</v>
      </c>
      <c r="F83" s="7" t="s">
        <v>31</v>
      </c>
      <c r="G83" s="10">
        <v>1</v>
      </c>
      <c r="H83" s="8">
        <v>450000</v>
      </c>
      <c r="I83" s="17">
        <f t="shared" si="2"/>
        <v>450000</v>
      </c>
    </row>
    <row r="84" spans="2:9" x14ac:dyDescent="0.25">
      <c r="B84" s="16">
        <v>45682</v>
      </c>
      <c r="C84" s="7" t="str">
        <f t="shared" si="3"/>
        <v>INV/2026/0079</v>
      </c>
      <c r="D84" s="7" t="s">
        <v>27</v>
      </c>
      <c r="E84" s="7" t="s">
        <v>18</v>
      </c>
      <c r="F84" s="7" t="s">
        <v>31</v>
      </c>
      <c r="G84" s="10">
        <v>2</v>
      </c>
      <c r="H84" s="8">
        <v>380000</v>
      </c>
      <c r="I84" s="17">
        <f t="shared" si="2"/>
        <v>760000</v>
      </c>
    </row>
    <row r="85" spans="2:9" x14ac:dyDescent="0.25">
      <c r="B85" s="16">
        <v>45683</v>
      </c>
      <c r="C85" s="7" t="str">
        <f t="shared" si="3"/>
        <v>INV/2026/0080</v>
      </c>
      <c r="D85" s="7" t="s">
        <v>28</v>
      </c>
      <c r="E85" s="7" t="s">
        <v>11</v>
      </c>
      <c r="F85" s="7" t="s">
        <v>34</v>
      </c>
      <c r="G85" s="10">
        <v>1</v>
      </c>
      <c r="H85" s="8">
        <v>8200000</v>
      </c>
      <c r="I85" s="17">
        <f t="shared" si="2"/>
        <v>8200000</v>
      </c>
    </row>
    <row r="86" spans="2:9" x14ac:dyDescent="0.25">
      <c r="B86" s="16">
        <v>45683</v>
      </c>
      <c r="C86" s="7" t="str">
        <f t="shared" si="3"/>
        <v>INV/2026/0081</v>
      </c>
      <c r="D86" s="7" t="s">
        <v>29</v>
      </c>
      <c r="E86" s="7" t="s">
        <v>19</v>
      </c>
      <c r="F86" s="7" t="s">
        <v>33</v>
      </c>
      <c r="G86" s="10">
        <v>5</v>
      </c>
      <c r="H86" s="8">
        <v>150000</v>
      </c>
      <c r="I86" s="17">
        <f t="shared" si="2"/>
        <v>750000</v>
      </c>
    </row>
    <row r="87" spans="2:9" x14ac:dyDescent="0.25">
      <c r="B87" s="16">
        <v>45683</v>
      </c>
      <c r="C87" s="7" t="str">
        <f t="shared" si="3"/>
        <v>INV/2026/0082</v>
      </c>
      <c r="D87" s="7" t="s">
        <v>30</v>
      </c>
      <c r="E87" s="7" t="s">
        <v>35</v>
      </c>
      <c r="F87" s="7" t="s">
        <v>31</v>
      </c>
      <c r="G87" s="10">
        <v>2</v>
      </c>
      <c r="H87" s="8">
        <v>580000</v>
      </c>
      <c r="I87" s="17">
        <f t="shared" si="2"/>
        <v>1160000</v>
      </c>
    </row>
    <row r="88" spans="2:9" x14ac:dyDescent="0.25">
      <c r="B88" s="16">
        <v>45684</v>
      </c>
      <c r="C88" s="7" t="str">
        <f t="shared" si="3"/>
        <v>INV/2026/0083</v>
      </c>
      <c r="D88" s="7" t="s">
        <v>25</v>
      </c>
      <c r="E88" s="7" t="s">
        <v>13</v>
      </c>
      <c r="F88" s="7" t="s">
        <v>31</v>
      </c>
      <c r="G88" s="10">
        <v>1</v>
      </c>
      <c r="H88" s="8">
        <v>1500000</v>
      </c>
      <c r="I88" s="17">
        <f t="shared" si="2"/>
        <v>1500000</v>
      </c>
    </row>
    <row r="89" spans="2:9" x14ac:dyDescent="0.25">
      <c r="B89" s="16">
        <v>45684</v>
      </c>
      <c r="C89" s="7" t="str">
        <f t="shared" si="3"/>
        <v>INV/2026/0084</v>
      </c>
      <c r="D89" s="7" t="s">
        <v>36</v>
      </c>
      <c r="E89" s="7" t="s">
        <v>37</v>
      </c>
      <c r="F89" s="7" t="s">
        <v>38</v>
      </c>
      <c r="G89" s="10">
        <v>5</v>
      </c>
      <c r="H89" s="8">
        <v>1500000</v>
      </c>
      <c r="I89" s="17">
        <f t="shared" si="2"/>
        <v>7500000</v>
      </c>
    </row>
    <row r="90" spans="2:9" x14ac:dyDescent="0.25">
      <c r="B90" s="16">
        <v>45685</v>
      </c>
      <c r="C90" s="7" t="str">
        <f t="shared" si="3"/>
        <v>INV/2026/0085</v>
      </c>
      <c r="D90" s="7" t="s">
        <v>39</v>
      </c>
      <c r="E90" s="7" t="s">
        <v>17</v>
      </c>
      <c r="F90" s="7" t="s">
        <v>31</v>
      </c>
      <c r="G90" s="10">
        <v>2</v>
      </c>
      <c r="H90" s="8">
        <v>450000</v>
      </c>
      <c r="I90" s="17">
        <f t="shared" si="2"/>
        <v>900000</v>
      </c>
    </row>
    <row r="91" spans="2:9" x14ac:dyDescent="0.25">
      <c r="B91" s="16">
        <v>45685</v>
      </c>
      <c r="C91" s="7" t="str">
        <f t="shared" si="3"/>
        <v>INV/2026/0086</v>
      </c>
      <c r="D91" s="7" t="s">
        <v>40</v>
      </c>
      <c r="E91" s="7" t="s">
        <v>41</v>
      </c>
      <c r="F91" s="7" t="s">
        <v>31</v>
      </c>
      <c r="G91" s="10">
        <v>4</v>
      </c>
      <c r="H91" s="8">
        <v>140000</v>
      </c>
      <c r="I91" s="17">
        <f t="shared" si="2"/>
        <v>560000</v>
      </c>
    </row>
    <row r="92" spans="2:9" x14ac:dyDescent="0.25">
      <c r="B92" s="16">
        <v>45685</v>
      </c>
      <c r="C92" s="7" t="str">
        <f t="shared" si="3"/>
        <v>INV/2026/0087</v>
      </c>
      <c r="D92" s="7" t="s">
        <v>42</v>
      </c>
      <c r="E92" s="7" t="s">
        <v>43</v>
      </c>
      <c r="F92" s="7" t="s">
        <v>31</v>
      </c>
      <c r="G92" s="10">
        <v>2</v>
      </c>
      <c r="H92" s="8">
        <v>300000</v>
      </c>
      <c r="I92" s="17">
        <f t="shared" si="2"/>
        <v>600000</v>
      </c>
    </row>
    <row r="93" spans="2:9" x14ac:dyDescent="0.25">
      <c r="B93" s="16">
        <v>45686</v>
      </c>
      <c r="C93" s="7" t="str">
        <f t="shared" si="3"/>
        <v>INV/2026/0088</v>
      </c>
      <c r="D93" s="7" t="s">
        <v>44</v>
      </c>
      <c r="E93" s="7" t="s">
        <v>45</v>
      </c>
      <c r="F93" s="7" t="s">
        <v>31</v>
      </c>
      <c r="G93" s="10">
        <v>4</v>
      </c>
      <c r="H93" s="8">
        <v>220000</v>
      </c>
      <c r="I93" s="17">
        <f t="shared" si="2"/>
        <v>880000</v>
      </c>
    </row>
    <row r="94" spans="2:9" x14ac:dyDescent="0.25">
      <c r="B94" s="16">
        <v>45686</v>
      </c>
      <c r="C94" s="7" t="str">
        <f t="shared" si="3"/>
        <v>INV/2026/0089</v>
      </c>
      <c r="D94" s="7" t="s">
        <v>46</v>
      </c>
      <c r="E94" s="7" t="s">
        <v>47</v>
      </c>
      <c r="F94" s="7" t="s">
        <v>31</v>
      </c>
      <c r="G94" s="10">
        <v>1</v>
      </c>
      <c r="H94" s="8">
        <v>280000</v>
      </c>
      <c r="I94" s="17">
        <f t="shared" si="2"/>
        <v>280000</v>
      </c>
    </row>
    <row r="95" spans="2:9" x14ac:dyDescent="0.25">
      <c r="B95" s="16">
        <v>45686</v>
      </c>
      <c r="C95" s="7" t="str">
        <f t="shared" si="3"/>
        <v>INV/2026/0090</v>
      </c>
      <c r="D95" s="7" t="s">
        <v>48</v>
      </c>
      <c r="E95" s="7" t="s">
        <v>13</v>
      </c>
      <c r="F95" s="7" t="s">
        <v>31</v>
      </c>
      <c r="G95" s="10">
        <v>1</v>
      </c>
      <c r="H95" s="8">
        <v>650000</v>
      </c>
      <c r="I95" s="17">
        <f t="shared" si="2"/>
        <v>650000</v>
      </c>
    </row>
    <row r="96" spans="2:9" x14ac:dyDescent="0.25">
      <c r="B96" s="16">
        <v>45687</v>
      </c>
      <c r="C96" s="7" t="str">
        <f t="shared" si="3"/>
        <v>INV/2026/0091</v>
      </c>
      <c r="D96" s="7" t="s">
        <v>49</v>
      </c>
      <c r="E96" s="7" t="s">
        <v>17</v>
      </c>
      <c r="F96" s="7" t="s">
        <v>31</v>
      </c>
      <c r="G96" s="10">
        <v>5</v>
      </c>
      <c r="H96" s="8">
        <v>450000</v>
      </c>
      <c r="I96" s="17">
        <f t="shared" si="2"/>
        <v>2250000</v>
      </c>
    </row>
    <row r="97" spans="2:9" x14ac:dyDescent="0.25">
      <c r="B97" s="16">
        <v>45687</v>
      </c>
      <c r="C97" s="7" t="str">
        <f t="shared" si="3"/>
        <v>INV/2026/0092</v>
      </c>
      <c r="D97" s="7" t="s">
        <v>50</v>
      </c>
      <c r="E97" s="7" t="s">
        <v>51</v>
      </c>
      <c r="F97" s="7" t="s">
        <v>31</v>
      </c>
      <c r="G97" s="10">
        <v>2</v>
      </c>
      <c r="H97" s="8">
        <v>300000</v>
      </c>
      <c r="I97" s="17">
        <f t="shared" si="2"/>
        <v>600000</v>
      </c>
    </row>
    <row r="98" spans="2:9" x14ac:dyDescent="0.25">
      <c r="B98" s="16">
        <v>45687</v>
      </c>
      <c r="C98" s="7" t="str">
        <f t="shared" si="3"/>
        <v>INV/2026/0093</v>
      </c>
      <c r="D98" s="7" t="s">
        <v>52</v>
      </c>
      <c r="E98" s="7" t="s">
        <v>16</v>
      </c>
      <c r="F98" s="7" t="s">
        <v>33</v>
      </c>
      <c r="G98" s="10">
        <v>4</v>
      </c>
      <c r="H98" s="8">
        <v>950000</v>
      </c>
      <c r="I98" s="17">
        <f t="shared" si="2"/>
        <v>3800000</v>
      </c>
    </row>
    <row r="99" spans="2:9" x14ac:dyDescent="0.25">
      <c r="B99" s="16">
        <v>45688</v>
      </c>
      <c r="C99" s="7" t="str">
        <f t="shared" si="3"/>
        <v>INV/2026/0094</v>
      </c>
      <c r="D99" s="7" t="s">
        <v>53</v>
      </c>
      <c r="E99" s="7" t="s">
        <v>45</v>
      </c>
      <c r="F99" s="7" t="s">
        <v>31</v>
      </c>
      <c r="G99" s="10">
        <v>2</v>
      </c>
      <c r="H99" s="8">
        <v>220000</v>
      </c>
      <c r="I99" s="17">
        <f t="shared" si="2"/>
        <v>440000</v>
      </c>
    </row>
    <row r="100" spans="2:9" x14ac:dyDescent="0.25">
      <c r="B100" s="16">
        <v>45688</v>
      </c>
      <c r="C100" s="7" t="str">
        <f t="shared" si="3"/>
        <v>INV/2026/0095</v>
      </c>
      <c r="D100" s="7" t="s">
        <v>54</v>
      </c>
      <c r="E100" s="7" t="s">
        <v>17</v>
      </c>
      <c r="F100" s="7" t="s">
        <v>31</v>
      </c>
      <c r="G100" s="10">
        <v>5</v>
      </c>
      <c r="H100" s="8">
        <v>140000</v>
      </c>
      <c r="I100" s="17">
        <f t="shared" si="2"/>
        <v>700000</v>
      </c>
    </row>
    <row r="101" spans="2:9" x14ac:dyDescent="0.25">
      <c r="B101" s="16">
        <v>45688</v>
      </c>
      <c r="C101" s="7" t="str">
        <f t="shared" si="3"/>
        <v>INV/2026/0096</v>
      </c>
      <c r="D101" s="7" t="s">
        <v>55</v>
      </c>
      <c r="E101" s="7" t="s">
        <v>18</v>
      </c>
      <c r="F101" s="7" t="s">
        <v>31</v>
      </c>
      <c r="G101" s="10">
        <v>1</v>
      </c>
      <c r="H101" s="8">
        <v>380000</v>
      </c>
      <c r="I101" s="17">
        <f t="shared" si="2"/>
        <v>380000</v>
      </c>
    </row>
    <row r="102" spans="2:9" x14ac:dyDescent="0.25">
      <c r="B102" s="22">
        <v>45688</v>
      </c>
      <c r="C102" s="13" t="str">
        <f t="shared" si="3"/>
        <v>INV/2026/0097</v>
      </c>
      <c r="D102" s="13" t="s">
        <v>56</v>
      </c>
      <c r="E102" s="13" t="s">
        <v>57</v>
      </c>
      <c r="F102" s="13" t="s">
        <v>31</v>
      </c>
      <c r="G102" s="23">
        <v>2</v>
      </c>
      <c r="H102" s="14">
        <v>1200000</v>
      </c>
      <c r="I102" s="24">
        <f t="shared" si="2"/>
        <v>2400000</v>
      </c>
    </row>
    <row r="106" spans="2:9" x14ac:dyDescent="0.25">
      <c r="F106" s="5"/>
      <c r="H106" s="5"/>
    </row>
    <row r="107" spans="2:9" x14ac:dyDescent="0.25">
      <c r="H107" s="5"/>
    </row>
    <row r="108" spans="2:9" x14ac:dyDescent="0.25">
      <c r="H108" s="5"/>
    </row>
    <row r="109" spans="2:9" x14ac:dyDescent="0.25">
      <c r="H109" s="5"/>
    </row>
    <row r="110" spans="2:9" x14ac:dyDescent="0.25">
      <c r="H110" s="5"/>
    </row>
    <row r="111" spans="2:9" x14ac:dyDescent="0.25">
      <c r="H111" s="5"/>
    </row>
  </sheetData>
  <mergeCells count="5">
    <mergeCell ref="B2:I2"/>
    <mergeCell ref="L7:P7"/>
    <mergeCell ref="L8:P8"/>
    <mergeCell ref="L17:O17"/>
    <mergeCell ref="L18:P18"/>
  </mergeCells>
  <dataValidations count="1">
    <dataValidation type="list" allowBlank="1" showInputMessage="1" showErrorMessage="1" sqref="N10" xr:uid="{CBE16EE2-351E-45DC-A270-E29F6316654A}">
      <formula1>$C$6:$C$102</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6048-7EDD-41FF-80B6-521777817192}">
  <dimension ref="A3:K24"/>
  <sheetViews>
    <sheetView topLeftCell="F1" workbookViewId="0">
      <selection activeCell="K14" sqref="K14"/>
    </sheetView>
  </sheetViews>
  <sheetFormatPr defaultRowHeight="15" x14ac:dyDescent="0.25"/>
  <cols>
    <col min="1" max="1" width="23.42578125" bestFit="1" customWidth="1"/>
    <col min="2" max="2" width="11.140625" bestFit="1" customWidth="1"/>
    <col min="4" max="4" width="23.42578125" bestFit="1" customWidth="1"/>
    <col min="5" max="5" width="24.5703125" bestFit="1" customWidth="1"/>
    <col min="7" max="7" width="13.140625" bestFit="1" customWidth="1"/>
    <col min="8" max="8" width="25" bestFit="1" customWidth="1"/>
    <col min="10" max="10" width="11.140625" bestFit="1" customWidth="1"/>
    <col min="11" max="11" width="25" bestFit="1" customWidth="1"/>
    <col min="12" max="12" width="24.5703125" bestFit="1" customWidth="1"/>
  </cols>
  <sheetData>
    <row r="3" spans="1:11" x14ac:dyDescent="0.25">
      <c r="A3" s="27" t="s">
        <v>89</v>
      </c>
      <c r="B3" t="s">
        <v>91</v>
      </c>
      <c r="D3" s="27" t="s">
        <v>89</v>
      </c>
      <c r="E3" t="s">
        <v>95</v>
      </c>
      <c r="G3" s="27" t="s">
        <v>89</v>
      </c>
      <c r="H3" t="s">
        <v>96</v>
      </c>
    </row>
    <row r="4" spans="1:11" x14ac:dyDescent="0.25">
      <c r="A4" s="28" t="s">
        <v>47</v>
      </c>
      <c r="B4" s="29">
        <v>3</v>
      </c>
      <c r="D4" s="28" t="s">
        <v>47</v>
      </c>
      <c r="E4" s="4">
        <v>840000</v>
      </c>
      <c r="G4" s="28" t="s">
        <v>61</v>
      </c>
      <c r="H4" s="4">
        <v>5400000</v>
      </c>
      <c r="J4" t="s">
        <v>91</v>
      </c>
      <c r="K4" t="s">
        <v>96</v>
      </c>
    </row>
    <row r="5" spans="1:11" x14ac:dyDescent="0.25">
      <c r="A5" s="28" t="s">
        <v>19</v>
      </c>
      <c r="B5" s="29">
        <v>15</v>
      </c>
      <c r="D5" s="28" t="s">
        <v>19</v>
      </c>
      <c r="E5" s="4">
        <v>2250000</v>
      </c>
      <c r="G5" s="28" t="s">
        <v>90</v>
      </c>
      <c r="H5" s="4">
        <v>5400000</v>
      </c>
      <c r="J5" s="42">
        <v>12</v>
      </c>
      <c r="K5" s="4">
        <v>5400000</v>
      </c>
    </row>
    <row r="6" spans="1:11" x14ac:dyDescent="0.25">
      <c r="A6" s="28" t="s">
        <v>75</v>
      </c>
      <c r="B6" s="29">
        <v>2</v>
      </c>
      <c r="D6" s="28" t="s">
        <v>75</v>
      </c>
      <c r="E6" s="4">
        <v>1500000</v>
      </c>
    </row>
    <row r="7" spans="1:11" x14ac:dyDescent="0.25">
      <c r="A7" s="28" t="s">
        <v>15</v>
      </c>
      <c r="B7" s="29">
        <v>9</v>
      </c>
      <c r="D7" s="28" t="s">
        <v>15</v>
      </c>
      <c r="E7" s="4">
        <v>4950000</v>
      </c>
    </row>
    <row r="8" spans="1:11" x14ac:dyDescent="0.25">
      <c r="A8" s="28" t="s">
        <v>41</v>
      </c>
      <c r="B8" s="29">
        <v>14</v>
      </c>
      <c r="D8" s="28" t="s">
        <v>41</v>
      </c>
      <c r="E8" s="4">
        <v>1960000</v>
      </c>
    </row>
    <row r="9" spans="1:11" x14ac:dyDescent="0.25">
      <c r="A9" s="28" t="s">
        <v>13</v>
      </c>
      <c r="B9" s="29">
        <v>16</v>
      </c>
      <c r="D9" s="28" t="s">
        <v>13</v>
      </c>
      <c r="E9" s="4">
        <v>12950000</v>
      </c>
    </row>
    <row r="10" spans="1:11" x14ac:dyDescent="0.25">
      <c r="A10" s="28" t="s">
        <v>11</v>
      </c>
      <c r="B10" s="29">
        <v>5</v>
      </c>
      <c r="D10" s="28" t="s">
        <v>11</v>
      </c>
      <c r="E10" s="4">
        <v>33620000</v>
      </c>
    </row>
    <row r="11" spans="1:11" x14ac:dyDescent="0.25">
      <c r="A11" s="28" t="s">
        <v>51</v>
      </c>
      <c r="B11" s="29">
        <v>6</v>
      </c>
      <c r="D11" s="28" t="s">
        <v>51</v>
      </c>
      <c r="E11" s="4">
        <v>1800000</v>
      </c>
    </row>
    <row r="12" spans="1:11" x14ac:dyDescent="0.25">
      <c r="A12" s="28" t="s">
        <v>14</v>
      </c>
      <c r="B12" s="29">
        <v>3</v>
      </c>
      <c r="D12" s="28" t="s">
        <v>14</v>
      </c>
      <c r="E12" s="4">
        <v>7500000</v>
      </c>
    </row>
    <row r="13" spans="1:11" x14ac:dyDescent="0.25">
      <c r="A13" s="28" t="s">
        <v>12</v>
      </c>
      <c r="B13" s="29">
        <v>2</v>
      </c>
      <c r="D13" s="28" t="s">
        <v>12</v>
      </c>
      <c r="E13" s="4">
        <v>560000</v>
      </c>
    </row>
    <row r="14" spans="1:11" x14ac:dyDescent="0.25">
      <c r="A14" s="28" t="s">
        <v>43</v>
      </c>
      <c r="B14" s="29">
        <v>6</v>
      </c>
      <c r="D14" s="28" t="s">
        <v>43</v>
      </c>
      <c r="E14" s="4">
        <v>1800000</v>
      </c>
    </row>
    <row r="15" spans="1:11" x14ac:dyDescent="0.25">
      <c r="A15" s="28" t="s">
        <v>71</v>
      </c>
      <c r="B15" s="29">
        <v>6</v>
      </c>
      <c r="D15" s="28" t="s">
        <v>71</v>
      </c>
      <c r="E15" s="4">
        <v>1080000</v>
      </c>
    </row>
    <row r="16" spans="1:11" x14ac:dyDescent="0.25">
      <c r="A16" s="28" t="s">
        <v>35</v>
      </c>
      <c r="B16" s="29">
        <v>6</v>
      </c>
      <c r="D16" s="28" t="s">
        <v>35</v>
      </c>
      <c r="E16" s="4">
        <v>3480000</v>
      </c>
    </row>
    <row r="17" spans="1:5" x14ac:dyDescent="0.25">
      <c r="A17" s="28" t="s">
        <v>37</v>
      </c>
      <c r="B17" s="29">
        <v>15</v>
      </c>
      <c r="D17" s="28" t="s">
        <v>92</v>
      </c>
      <c r="E17" s="4">
        <v>22500000</v>
      </c>
    </row>
    <row r="18" spans="1:5" x14ac:dyDescent="0.25">
      <c r="A18" s="28" t="s">
        <v>60</v>
      </c>
      <c r="B18" s="29">
        <v>12</v>
      </c>
      <c r="D18" s="28" t="s">
        <v>93</v>
      </c>
      <c r="E18" s="4">
        <v>5400000</v>
      </c>
    </row>
    <row r="19" spans="1:5" x14ac:dyDescent="0.25">
      <c r="A19" s="28" t="s">
        <v>18</v>
      </c>
      <c r="B19" s="29">
        <v>11</v>
      </c>
      <c r="D19" s="28" t="s">
        <v>18</v>
      </c>
      <c r="E19" s="4">
        <v>4180000</v>
      </c>
    </row>
    <row r="20" spans="1:5" x14ac:dyDescent="0.25">
      <c r="A20" s="28" t="s">
        <v>16</v>
      </c>
      <c r="B20" s="29">
        <v>33</v>
      </c>
      <c r="D20" s="28" t="s">
        <v>16</v>
      </c>
      <c r="E20" s="4">
        <v>31350000</v>
      </c>
    </row>
    <row r="21" spans="1:5" x14ac:dyDescent="0.25">
      <c r="A21" s="28" t="s">
        <v>57</v>
      </c>
      <c r="B21" s="29">
        <v>11</v>
      </c>
      <c r="D21" s="28" t="s">
        <v>57</v>
      </c>
      <c r="E21" s="4">
        <v>15000000</v>
      </c>
    </row>
    <row r="22" spans="1:5" x14ac:dyDescent="0.25">
      <c r="A22" s="28" t="s">
        <v>45</v>
      </c>
      <c r="B22" s="29">
        <v>24</v>
      </c>
      <c r="D22" s="28" t="s">
        <v>94</v>
      </c>
      <c r="E22" s="4">
        <v>5280000</v>
      </c>
    </row>
    <row r="23" spans="1:5" x14ac:dyDescent="0.25">
      <c r="A23" s="28" t="s">
        <v>17</v>
      </c>
      <c r="B23" s="29">
        <v>51</v>
      </c>
      <c r="D23" s="28" t="s">
        <v>17</v>
      </c>
      <c r="E23" s="4">
        <v>18300000</v>
      </c>
    </row>
    <row r="24" spans="1:5" x14ac:dyDescent="0.25">
      <c r="A24" s="28" t="s">
        <v>90</v>
      </c>
      <c r="B24" s="29">
        <v>250</v>
      </c>
      <c r="D24" s="28" t="s">
        <v>90</v>
      </c>
      <c r="E24" s="4">
        <v>176300000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B824-80DD-4589-90CB-9AEF90001C80}">
  <dimension ref="B2:R10"/>
  <sheetViews>
    <sheetView showGridLines="0" tabSelected="1" zoomScale="87" workbookViewId="0">
      <selection activeCell="H5" sqref="H5"/>
    </sheetView>
  </sheetViews>
  <sheetFormatPr defaultRowHeight="15" x14ac:dyDescent="0.25"/>
  <cols>
    <col min="1" max="5" width="9.140625" style="26"/>
    <col min="6" max="6" width="14.140625" style="26" bestFit="1" customWidth="1"/>
    <col min="7" max="7" width="9.140625" style="26"/>
    <col min="8" max="8" width="28.5703125" style="26" bestFit="1" customWidth="1"/>
    <col min="9" max="16384" width="9.140625" style="26"/>
  </cols>
  <sheetData>
    <row r="2" spans="2:18" x14ac:dyDescent="0.25">
      <c r="B2" s="32"/>
      <c r="C2" s="32"/>
      <c r="D2" s="32"/>
      <c r="E2" s="32"/>
      <c r="F2" s="32"/>
      <c r="G2" s="32"/>
      <c r="H2" s="32"/>
      <c r="I2" s="32"/>
      <c r="J2" s="32"/>
      <c r="K2" s="32"/>
      <c r="L2" s="32"/>
      <c r="M2" s="32"/>
      <c r="N2" s="32"/>
      <c r="O2" s="32"/>
      <c r="P2" s="32"/>
      <c r="Q2" s="32"/>
      <c r="R2" s="32"/>
    </row>
    <row r="3" spans="2:18" ht="26.25" x14ac:dyDescent="0.25">
      <c r="B3" s="30" t="s">
        <v>97</v>
      </c>
      <c r="C3" s="31"/>
      <c r="D3" s="31"/>
      <c r="E3" s="31"/>
      <c r="F3" s="31"/>
      <c r="G3" s="31"/>
      <c r="H3" s="31"/>
      <c r="I3" s="31"/>
      <c r="J3" s="31"/>
      <c r="K3" s="31"/>
      <c r="L3" s="31"/>
      <c r="M3" s="31"/>
      <c r="N3" s="31"/>
      <c r="O3" s="31"/>
      <c r="P3" s="31"/>
      <c r="Q3" s="31"/>
      <c r="R3" s="31"/>
    </row>
    <row r="4" spans="2:18" ht="26.25" x14ac:dyDescent="0.25">
      <c r="B4" s="31"/>
      <c r="C4" s="44"/>
      <c r="D4" s="31"/>
      <c r="E4" s="31"/>
      <c r="F4" s="43">
        <f>GETPIVOTDATA("Sum of QTY",pivot!$J$4)</f>
        <v>12</v>
      </c>
      <c r="G4" s="31"/>
      <c r="H4" s="31">
        <f>GETPIVOTDATA("Sum of TOTAL PENJUALAN ",pivot!$J$4)</f>
        <v>5400000</v>
      </c>
      <c r="I4" s="31"/>
      <c r="J4" s="31"/>
      <c r="K4" s="31"/>
      <c r="L4" s="31"/>
      <c r="M4" s="31"/>
      <c r="N4" s="31"/>
      <c r="O4" s="31"/>
      <c r="P4" s="31"/>
      <c r="Q4" s="31"/>
      <c r="R4" s="31"/>
    </row>
    <row r="10" spans="2:18" x14ac:dyDescent="0.25">
      <c r="C10"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2026-04-27T07:50:17Z</dcterms:created>
  <dcterms:modified xsi:type="dcterms:W3CDTF">2026-04-28T10:17:12Z</dcterms:modified>
</cp:coreProperties>
</file>
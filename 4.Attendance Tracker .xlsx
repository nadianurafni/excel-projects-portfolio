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my skill\mandiri\portofolio\"/>
    </mc:Choice>
  </mc:AlternateContent>
  <xr:revisionPtr revIDLastSave="0" documentId="13_ncr:1_{F98A612E-6AED-405A-BC41-6B79EB4227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sen karyaw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6" i="1"/>
  <c r="K15" i="1"/>
  <c r="L15" i="1"/>
  <c r="J16" i="1"/>
  <c r="I16" i="1"/>
  <c r="H16" i="1"/>
  <c r="G1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6" i="1"/>
  <c r="C7" i="1"/>
  <c r="C8" i="1"/>
  <c r="C9" i="1"/>
  <c r="C10" i="1"/>
  <c r="C11" i="1"/>
  <c r="C12" i="1"/>
  <c r="C13" i="1"/>
  <c r="C14" i="1"/>
  <c r="C15" i="1"/>
  <c r="C6" i="1"/>
  <c r="B7" i="1"/>
  <c r="B8" i="1"/>
  <c r="B9" i="1"/>
  <c r="B10" i="1"/>
  <c r="B11" i="1"/>
  <c r="B12" i="1"/>
  <c r="B13" i="1"/>
  <c r="B14" i="1"/>
  <c r="B15" i="1"/>
  <c r="B6" i="1"/>
  <c r="K16" i="1" l="1"/>
  <c r="L6" i="1"/>
  <c r="L16" i="1" s="1"/>
</calcChain>
</file>

<file path=xl/sharedStrings.xml><?xml version="1.0" encoding="utf-8"?>
<sst xmlns="http://schemas.openxmlformats.org/spreadsheetml/2006/main" count="47" uniqueCount="43">
  <si>
    <t xml:space="preserve">LAPORAN ABSENSI KARYAWAN </t>
  </si>
  <si>
    <t xml:space="preserve">PT. NADIA JAYA ELEKTRONIK </t>
  </si>
  <si>
    <t>Periode: April 2026</t>
  </si>
  <si>
    <t xml:space="preserve">NO </t>
  </si>
  <si>
    <t xml:space="preserve">NAMA KARYAWAN </t>
  </si>
  <si>
    <t xml:space="preserve">DEPARTEMEN </t>
  </si>
  <si>
    <t xml:space="preserve">JABATAN </t>
  </si>
  <si>
    <t xml:space="preserve">HADIR </t>
  </si>
  <si>
    <t>IZIN</t>
  </si>
  <si>
    <t xml:space="preserve">SAKIT </t>
  </si>
  <si>
    <t>ALPHA</t>
  </si>
  <si>
    <t xml:space="preserve">% KEHADIRAN </t>
  </si>
  <si>
    <t xml:space="preserve">ID KARYWAN </t>
  </si>
  <si>
    <t xml:space="preserve">Andi Pratama </t>
  </si>
  <si>
    <t xml:space="preserve">Budi Santosa </t>
  </si>
  <si>
    <t>Cindy Rahayu</t>
  </si>
  <si>
    <t xml:space="preserve">Dewi Anggraini </t>
  </si>
  <si>
    <t>Endah Lestari</t>
  </si>
  <si>
    <t xml:space="preserve">Firman Hidayat </t>
  </si>
  <si>
    <t>Galih Kusuma</t>
  </si>
  <si>
    <t xml:space="preserve">Hilman Fauzi </t>
  </si>
  <si>
    <t>Indah Permata</t>
  </si>
  <si>
    <t>Intan Nur Aini</t>
  </si>
  <si>
    <t xml:space="preserve">Keuangan </t>
  </si>
  <si>
    <t xml:space="preserve">Pemasaran </t>
  </si>
  <si>
    <t>SDM</t>
  </si>
  <si>
    <t xml:space="preserve">Operasional </t>
  </si>
  <si>
    <t>IT</t>
  </si>
  <si>
    <t xml:space="preserve">SDM </t>
  </si>
  <si>
    <t xml:space="preserve">Staff Admin </t>
  </si>
  <si>
    <t xml:space="preserve">Staff Marketing </t>
  </si>
  <si>
    <t>Staff HRD</t>
  </si>
  <si>
    <t xml:space="preserve">Kasir </t>
  </si>
  <si>
    <t xml:space="preserve">Staff Gudang </t>
  </si>
  <si>
    <t xml:space="preserve">Teknisi </t>
  </si>
  <si>
    <t>Sales</t>
  </si>
  <si>
    <t>Supervisor</t>
  </si>
  <si>
    <t>Recruiter</t>
  </si>
  <si>
    <t xml:space="preserve">Akuntan </t>
  </si>
  <si>
    <t xml:space="preserve">TOTAL HARI </t>
  </si>
  <si>
    <t>TOTAL</t>
  </si>
  <si>
    <t xml:space="preserve"> PROGRESBAR</t>
  </si>
  <si>
    <t>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</si>
</sst>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Arial"/>
      <family val="2"/>
    </font>
    <font>
      <b/>
      <sz val="18"/>
      <color theme="0" tint="-4.9989318521683403E-2"/>
      <name val="Arial"/>
      <family val="2"/>
    </font>
    <font>
      <i/>
      <sz val="10"/>
      <color theme="1"/>
      <name val="Arial"/>
      <family val="2"/>
    </font>
    <font>
      <b/>
      <sz val="11"/>
      <color theme="0" tint="-4.9989318521683403E-2"/>
      <name val="Calibri"/>
      <family val="2"/>
      <scheme val="minor"/>
    </font>
    <font>
      <b/>
      <sz val="11"/>
      <color rgb="FF6A0DAD"/>
      <name val="Arial"/>
      <family val="2"/>
    </font>
    <font>
      <b/>
      <sz val="11"/>
      <color theme="0" tint="-4.9989318521683403E-2"/>
      <name val="Arial"/>
      <family val="2"/>
    </font>
    <font>
      <sz val="11"/>
      <color theme="1"/>
      <name val="Playbill"/>
      <family val="5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0" borderId="0" xfId="1" applyNumberFormat="1" applyFont="1" applyBorder="1" applyAlignment="1">
      <alignment horizontal="center"/>
    </xf>
    <xf numFmtId="164" fontId="0" fillId="3" borderId="0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0" fillId="0" borderId="0" xfId="0" applyNumberFormat="1"/>
    <xf numFmtId="0" fontId="8" fillId="0" borderId="0" xfId="0" applyFont="1"/>
    <xf numFmtId="0" fontId="0" fillId="2" borderId="0" xfId="0" applyFill="1"/>
    <xf numFmtId="0" fontId="4" fillId="0" borderId="0" xfId="0" applyFont="1" applyAlignment="1">
      <alignment horizontal="right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A0DAD"/>
      <color rgb="FFC4B5FD"/>
      <color rgb="FFF3E8FF"/>
      <color rgb="FF3B1F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6"/>
  <sheetViews>
    <sheetView showGridLines="0" tabSelected="1" workbookViewId="0">
      <selection activeCell="P7" sqref="P7"/>
    </sheetView>
  </sheetViews>
  <sheetFormatPr defaultRowHeight="15" x14ac:dyDescent="0.25"/>
  <cols>
    <col min="2" max="2" width="5.5703125" customWidth="1"/>
    <col min="3" max="3" width="12.85546875" bestFit="1" customWidth="1"/>
    <col min="4" max="4" width="18.28515625" bestFit="1" customWidth="1"/>
    <col min="5" max="5" width="13.5703125" bestFit="1" customWidth="1"/>
    <col min="6" max="6" width="15.140625" bestFit="1" customWidth="1"/>
    <col min="7" max="7" width="7" bestFit="1" customWidth="1"/>
    <col min="8" max="8" width="4.5703125" bestFit="1" customWidth="1"/>
    <col min="9" max="9" width="6.42578125" bestFit="1" customWidth="1"/>
    <col min="10" max="10" width="6.85546875" bestFit="1" customWidth="1"/>
    <col min="11" max="11" width="13.140625" bestFit="1" customWidth="1"/>
    <col min="12" max="12" width="14" bestFit="1" customWidth="1"/>
    <col min="13" max="13" width="30.28515625" customWidth="1"/>
    <col min="16" max="16" width="10.7109375" bestFit="1" customWidth="1"/>
  </cols>
  <sheetData>
    <row r="2" spans="2:16" ht="50.25" customHeight="1" x14ac:dyDescent="0.2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6" x14ac:dyDescent="0.25">
      <c r="B3" s="14" t="s">
        <v>1</v>
      </c>
      <c r="C3" s="14"/>
      <c r="D3" s="14"/>
      <c r="E3" s="13" t="s">
        <v>2</v>
      </c>
      <c r="F3" s="13"/>
      <c r="G3" s="13"/>
      <c r="H3" s="13"/>
      <c r="I3" s="13"/>
      <c r="J3" s="13"/>
      <c r="K3" s="13"/>
      <c r="L3" s="13"/>
    </row>
    <row r="4" spans="2:16" ht="4.5" customHeight="1" x14ac:dyDescent="0.25"/>
    <row r="5" spans="2:16" ht="22.5" customHeight="1" x14ac:dyDescent="0.25">
      <c r="B5" s="1" t="s">
        <v>3</v>
      </c>
      <c r="C5" s="1" t="s">
        <v>12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39</v>
      </c>
      <c r="L5" s="1" t="s">
        <v>11</v>
      </c>
      <c r="M5" s="7" t="s">
        <v>41</v>
      </c>
      <c r="N5" s="7" t="s">
        <v>42</v>
      </c>
      <c r="P5" s="18"/>
    </row>
    <row r="6" spans="2:16" x14ac:dyDescent="0.25">
      <c r="B6" s="2">
        <f>ROW(A2)-1</f>
        <v>1</v>
      </c>
      <c r="C6" s="2" t="str">
        <f>"E"&amp;TEXT(ROW()-5,"000")</f>
        <v>E001</v>
      </c>
      <c r="D6" t="s">
        <v>13</v>
      </c>
      <c r="E6" t="s">
        <v>23</v>
      </c>
      <c r="F6" t="s">
        <v>29</v>
      </c>
      <c r="G6" s="2">
        <v>25</v>
      </c>
      <c r="H6" s="2">
        <v>1</v>
      </c>
      <c r="I6" s="2">
        <v>0</v>
      </c>
      <c r="J6" s="2">
        <v>0</v>
      </c>
      <c r="K6" s="2">
        <f>$G6+$H6+$I6+$J6</f>
        <v>26</v>
      </c>
      <c r="L6" s="5">
        <f>G6/K6</f>
        <v>0.96153846153846156</v>
      </c>
      <c r="M6" s="10">
        <v>0.96199999999999997</v>
      </c>
      <c r="N6" s="11" t="str">
        <f>REPT("||",K6)</f>
        <v>||||||||||||||||||||||||||||||||||||||||||||||||||||</v>
      </c>
      <c r="P6" s="18"/>
    </row>
    <row r="7" spans="2:16" x14ac:dyDescent="0.25">
      <c r="B7" s="3">
        <f t="shared" ref="B7:B15" si="0">ROW(A3)-1</f>
        <v>2</v>
      </c>
      <c r="C7" s="3" t="str">
        <f t="shared" ref="C7:C15" si="1">"E"&amp;TEXT(ROW()-5,"000")</f>
        <v>E002</v>
      </c>
      <c r="D7" s="4" t="s">
        <v>14</v>
      </c>
      <c r="E7" s="4" t="s">
        <v>24</v>
      </c>
      <c r="F7" s="4" t="s">
        <v>30</v>
      </c>
      <c r="G7" s="3">
        <v>24</v>
      </c>
      <c r="H7" s="3">
        <v>0</v>
      </c>
      <c r="I7" s="3">
        <v>2</v>
      </c>
      <c r="J7" s="3">
        <v>0</v>
      </c>
      <c r="K7" s="3">
        <f t="shared" ref="K7:K14" si="2">$G7+$H7+$I7+$J7</f>
        <v>26</v>
      </c>
      <c r="L7" s="6">
        <f t="shared" ref="L7:L15" si="3">G7/K7</f>
        <v>0.92307692307692313</v>
      </c>
      <c r="M7" s="10">
        <v>0.92300000000000004</v>
      </c>
      <c r="N7" s="11" t="str">
        <f t="shared" ref="N7:N15" si="4">REPT("||",K7)</f>
        <v>||||||||||||||||||||||||||||||||||||||||||||||||||||</v>
      </c>
      <c r="P7" s="18"/>
    </row>
    <row r="8" spans="2:16" x14ac:dyDescent="0.25">
      <c r="B8" s="2">
        <f t="shared" si="0"/>
        <v>3</v>
      </c>
      <c r="C8" s="2" t="str">
        <f t="shared" si="1"/>
        <v>E003</v>
      </c>
      <c r="D8" t="s">
        <v>15</v>
      </c>
      <c r="E8" t="s">
        <v>25</v>
      </c>
      <c r="F8" t="s">
        <v>31</v>
      </c>
      <c r="G8" s="2">
        <v>23</v>
      </c>
      <c r="H8" s="2">
        <v>1</v>
      </c>
      <c r="I8" s="2">
        <v>1</v>
      </c>
      <c r="J8" s="2">
        <v>0</v>
      </c>
      <c r="K8" s="2">
        <f t="shared" si="2"/>
        <v>25</v>
      </c>
      <c r="L8" s="5">
        <f t="shared" si="3"/>
        <v>0.92</v>
      </c>
      <c r="M8" s="10">
        <v>0.92</v>
      </c>
      <c r="N8" s="11" t="str">
        <f t="shared" si="4"/>
        <v>||||||||||||||||||||||||||||||||||||||||||||||||||</v>
      </c>
    </row>
    <row r="9" spans="2:16" x14ac:dyDescent="0.25">
      <c r="B9" s="3">
        <f t="shared" si="0"/>
        <v>4</v>
      </c>
      <c r="C9" s="3" t="str">
        <f t="shared" si="1"/>
        <v>E004</v>
      </c>
      <c r="D9" s="4" t="s">
        <v>16</v>
      </c>
      <c r="E9" s="4" t="s">
        <v>23</v>
      </c>
      <c r="F9" s="4" t="s">
        <v>32</v>
      </c>
      <c r="G9" s="3">
        <v>26</v>
      </c>
      <c r="H9" s="3">
        <v>0</v>
      </c>
      <c r="I9" s="3">
        <v>0</v>
      </c>
      <c r="J9" s="3">
        <v>0</v>
      </c>
      <c r="K9" s="3">
        <f t="shared" si="2"/>
        <v>26</v>
      </c>
      <c r="L9" s="6">
        <f t="shared" si="3"/>
        <v>1</v>
      </c>
      <c r="M9" s="10">
        <v>1</v>
      </c>
      <c r="N9" s="11" t="str">
        <f t="shared" si="4"/>
        <v>||||||||||||||||||||||||||||||||||||||||||||||||||||</v>
      </c>
    </row>
    <row r="10" spans="2:16" x14ac:dyDescent="0.25">
      <c r="B10" s="2">
        <f t="shared" si="0"/>
        <v>5</v>
      </c>
      <c r="C10" s="2" t="str">
        <f t="shared" si="1"/>
        <v>E005</v>
      </c>
      <c r="D10" t="s">
        <v>17</v>
      </c>
      <c r="E10" t="s">
        <v>26</v>
      </c>
      <c r="F10" t="s">
        <v>33</v>
      </c>
      <c r="G10" s="2">
        <v>22</v>
      </c>
      <c r="H10" s="2">
        <v>2</v>
      </c>
      <c r="I10" s="2">
        <v>1</v>
      </c>
      <c r="J10" s="2">
        <v>0</v>
      </c>
      <c r="K10" s="2">
        <f t="shared" si="2"/>
        <v>25</v>
      </c>
      <c r="L10" s="5">
        <f t="shared" si="3"/>
        <v>0.88</v>
      </c>
      <c r="M10" s="10">
        <v>0.88</v>
      </c>
      <c r="N10" s="11" t="str">
        <f t="shared" si="4"/>
        <v>||||||||||||||||||||||||||||||||||||||||||||||||||</v>
      </c>
    </row>
    <row r="11" spans="2:16" x14ac:dyDescent="0.25">
      <c r="B11" s="3">
        <f t="shared" si="0"/>
        <v>6</v>
      </c>
      <c r="C11" s="3" t="str">
        <f t="shared" si="1"/>
        <v>E006</v>
      </c>
      <c r="D11" s="4" t="s">
        <v>18</v>
      </c>
      <c r="E11" s="4" t="s">
        <v>27</v>
      </c>
      <c r="F11" s="4" t="s">
        <v>34</v>
      </c>
      <c r="G11" s="3">
        <v>24</v>
      </c>
      <c r="H11" s="3">
        <v>0</v>
      </c>
      <c r="I11" s="3">
        <v>1</v>
      </c>
      <c r="J11" s="3">
        <v>0</v>
      </c>
      <c r="K11" s="3">
        <f t="shared" si="2"/>
        <v>25</v>
      </c>
      <c r="L11" s="6">
        <f t="shared" si="3"/>
        <v>0.96</v>
      </c>
      <c r="M11" s="10">
        <v>0.96</v>
      </c>
      <c r="N11" s="11" t="str">
        <f t="shared" si="4"/>
        <v>||||||||||||||||||||||||||||||||||||||||||||||||||</v>
      </c>
    </row>
    <row r="12" spans="2:16" x14ac:dyDescent="0.25">
      <c r="B12" s="2">
        <f t="shared" si="0"/>
        <v>7</v>
      </c>
      <c r="C12" s="2" t="str">
        <f t="shared" si="1"/>
        <v>E007</v>
      </c>
      <c r="D12" t="s">
        <v>19</v>
      </c>
      <c r="E12" t="s">
        <v>24</v>
      </c>
      <c r="F12" t="s">
        <v>35</v>
      </c>
      <c r="G12" s="2">
        <v>23</v>
      </c>
      <c r="H12" s="2">
        <v>1</v>
      </c>
      <c r="I12" s="2">
        <v>1</v>
      </c>
      <c r="J12" s="2">
        <v>0</v>
      </c>
      <c r="K12" s="2">
        <f t="shared" si="2"/>
        <v>25</v>
      </c>
      <c r="L12" s="5">
        <f t="shared" si="3"/>
        <v>0.92</v>
      </c>
      <c r="M12" s="10">
        <v>0.92</v>
      </c>
      <c r="N12" s="11" t="str">
        <f t="shared" si="4"/>
        <v>||||||||||||||||||||||||||||||||||||||||||||||||||</v>
      </c>
    </row>
    <row r="13" spans="2:16" x14ac:dyDescent="0.25">
      <c r="B13" s="3">
        <f t="shared" si="0"/>
        <v>8</v>
      </c>
      <c r="C13" s="3" t="str">
        <f t="shared" si="1"/>
        <v>E008</v>
      </c>
      <c r="D13" s="4" t="s">
        <v>20</v>
      </c>
      <c r="E13" s="4" t="s">
        <v>26</v>
      </c>
      <c r="F13" s="4" t="s">
        <v>36</v>
      </c>
      <c r="G13" s="3">
        <v>23</v>
      </c>
      <c r="H13" s="3">
        <v>0</v>
      </c>
      <c r="I13" s="3">
        <v>2</v>
      </c>
      <c r="J13" s="3">
        <v>0</v>
      </c>
      <c r="K13" s="3">
        <f t="shared" si="2"/>
        <v>25</v>
      </c>
      <c r="L13" s="6">
        <f t="shared" si="3"/>
        <v>0.92</v>
      </c>
      <c r="M13" s="10">
        <v>0.92</v>
      </c>
      <c r="N13" s="11" t="str">
        <f t="shared" si="4"/>
        <v>||||||||||||||||||||||||||||||||||||||||||||||||||</v>
      </c>
    </row>
    <row r="14" spans="2:16" x14ac:dyDescent="0.25">
      <c r="B14" s="2">
        <f t="shared" si="0"/>
        <v>9</v>
      </c>
      <c r="C14" s="2" t="str">
        <f t="shared" si="1"/>
        <v>E009</v>
      </c>
      <c r="D14" t="s">
        <v>21</v>
      </c>
      <c r="E14" t="s">
        <v>28</v>
      </c>
      <c r="F14" t="s">
        <v>37</v>
      </c>
      <c r="G14" s="2">
        <v>24</v>
      </c>
      <c r="H14" s="2">
        <v>1</v>
      </c>
      <c r="I14" s="2">
        <v>1</v>
      </c>
      <c r="J14" s="2">
        <v>0</v>
      </c>
      <c r="K14" s="2">
        <f t="shared" si="2"/>
        <v>26</v>
      </c>
      <c r="L14" s="5">
        <f t="shared" si="3"/>
        <v>0.92307692307692313</v>
      </c>
      <c r="M14" s="10">
        <v>0.92300000000000004</v>
      </c>
      <c r="N14" s="11" t="str">
        <f t="shared" si="4"/>
        <v>||||||||||||||||||||||||||||||||||||||||||||||||||||</v>
      </c>
    </row>
    <row r="15" spans="2:16" x14ac:dyDescent="0.25">
      <c r="B15" s="3">
        <f t="shared" si="0"/>
        <v>10</v>
      </c>
      <c r="C15" s="3" t="str">
        <f t="shared" si="1"/>
        <v>E010</v>
      </c>
      <c r="D15" s="4" t="s">
        <v>22</v>
      </c>
      <c r="E15" s="4" t="s">
        <v>23</v>
      </c>
      <c r="F15" s="4" t="s">
        <v>38</v>
      </c>
      <c r="G15" s="3">
        <v>26</v>
      </c>
      <c r="H15" s="3">
        <v>0</v>
      </c>
      <c r="I15" s="3">
        <v>0</v>
      </c>
      <c r="J15" s="3">
        <v>0</v>
      </c>
      <c r="K15" s="3">
        <f>$G15+$H15+$I15+$J15</f>
        <v>26</v>
      </c>
      <c r="L15" s="6">
        <f t="shared" si="3"/>
        <v>1</v>
      </c>
      <c r="M15" s="10">
        <v>1</v>
      </c>
      <c r="N15" s="11" t="str">
        <f t="shared" si="4"/>
        <v>||||||||||||||||||||||||||||||||||||||||||||||||||||</v>
      </c>
    </row>
    <row r="16" spans="2:16" x14ac:dyDescent="0.25">
      <c r="B16" s="15" t="s">
        <v>40</v>
      </c>
      <c r="C16" s="16"/>
      <c r="D16" s="16"/>
      <c r="E16" s="16"/>
      <c r="F16" s="16"/>
      <c r="G16" s="8">
        <f>SUM(G6:G15)</f>
        <v>240</v>
      </c>
      <c r="H16" s="8">
        <f>SUM(H6:H15)</f>
        <v>6</v>
      </c>
      <c r="I16" s="8">
        <f>SUM(I6:I15)</f>
        <v>9</v>
      </c>
      <c r="J16" s="8">
        <f>SUM(J6:J15)</f>
        <v>0</v>
      </c>
      <c r="K16" s="8">
        <f>SUM(K6:K15)</f>
        <v>255</v>
      </c>
      <c r="L16" s="9">
        <f>AVERAGE(L6:L15)</f>
        <v>0.9407692307692308</v>
      </c>
      <c r="M16" s="12"/>
      <c r="N16" s="12"/>
    </row>
  </sheetData>
  <mergeCells count="4">
    <mergeCell ref="E3:L3"/>
    <mergeCell ref="B3:D3"/>
    <mergeCell ref="B16:F16"/>
    <mergeCell ref="B2:N2"/>
  </mergeCells>
  <conditionalFormatting sqref="G6:G15">
    <cfRule type="cellIs" dxfId="3" priority="5" operator="lessThan">
      <formula>"&lt;30"</formula>
    </cfRule>
    <cfRule type="cellIs" dxfId="2" priority="6" operator="equal">
      <formula>"HADIR"</formula>
    </cfRule>
  </conditionalFormatting>
  <conditionalFormatting sqref="H6:I15">
    <cfRule type="cellIs" dxfId="1" priority="2" operator="lessThan">
      <formula>3</formula>
    </cfRule>
  </conditionalFormatting>
  <conditionalFormatting sqref="J6:J15">
    <cfRule type="cellIs" dxfId="0" priority="4" operator="equal">
      <formula>0</formula>
    </cfRule>
  </conditionalFormatting>
  <conditionalFormatting sqref="M6:M15">
    <cfRule type="dataBar" priority="1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{107062F8-9CB3-4A1A-97D1-DEB4FE747699}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062F8-9CB3-4A1A-97D1-DEB4FE7476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M6:M15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2026-04-26T12:29:56Z</dcterms:modified>
</cp:coreProperties>
</file>
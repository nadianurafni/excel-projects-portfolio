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my skill\mandiri\portofolio\"/>
    </mc:Choice>
  </mc:AlternateContent>
  <xr:revisionPtr revIDLastSave="0" documentId="13_ncr:1_{7072642B-AFB4-4647-83A5-C0CC1FB049C2}" xr6:coauthVersionLast="47" xr6:coauthVersionMax="47" xr10:uidLastSave="{00000000-0000-0000-0000-000000000000}"/>
  <bookViews>
    <workbookView xWindow="-120" yWindow="-120" windowWidth="20730" windowHeight="11160" xr2:uid="{0439AFE8-892A-4E67-AAD1-4EC5633A41B5}"/>
  </bookViews>
  <sheets>
    <sheet name="Product_Master" sheetId="1" r:id="rId1"/>
    <sheet name="Stock_Movement " sheetId="2" r:id="rId2"/>
    <sheet name="Inventory_summary" sheetId="3" r:id="rId3"/>
    <sheet name="PIVOT" sheetId="6" r:id="rId4"/>
  </sheets>
  <definedNames>
    <definedName name="_xlnm._FilterDatabase" localSheetId="0" hidden="1">Product_Master!$A$3:$G$23</definedName>
    <definedName name="_xlcn.WorksheetConnection_1.InventorySrockManagement.xlsxTable31" hidden="1">Table3[]</definedName>
    <definedName name="_xlcn.WorksheetConnection_InventorySrockManagement.xlsxTable261" hidden="1">Table26</definedName>
  </definedNames>
  <calcPr calcId="191029"/>
  <pivotCaches>
    <pivotCache cacheId="22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6" name="Table26" connection="WorksheetConnection_Inventory &amp; Srock Management .xlsx!Table26"/>
          <x15:modelTable id="Table3" name="Table3" connection="WorksheetConnection_1.Inventory &amp; Srock Management .xlsx!Table3"/>
        </x15:modelTables>
      </x15:dataModel>
    </ext>
  </extLst>
</workbook>
</file>

<file path=xl/calcChain.xml><?xml version="1.0" encoding="utf-8"?>
<calcChain xmlns="http://schemas.openxmlformats.org/spreadsheetml/2006/main">
  <c r="R8" i="3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5" i="1"/>
  <c r="A4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E6" i="3"/>
  <c r="E17" i="3"/>
  <c r="E7" i="3"/>
  <c r="E8" i="3"/>
  <c r="E9" i="3"/>
  <c r="E10" i="3"/>
  <c r="E11" i="3"/>
  <c r="E12" i="3"/>
  <c r="E13" i="3"/>
  <c r="E14" i="3"/>
  <c r="E15" i="3"/>
  <c r="E16" i="3"/>
  <c r="E18" i="3"/>
  <c r="E19" i="3"/>
  <c r="E20" i="3"/>
  <c r="E21" i="3"/>
  <c r="E22" i="3"/>
  <c r="E23" i="3"/>
  <c r="E24" i="3"/>
  <c r="E25" i="3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G6" i="3" l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C7" i="2"/>
  <c r="E7" i="2"/>
  <c r="G7" i="2"/>
  <c r="H7" i="2" s="1"/>
  <c r="I7" i="2"/>
  <c r="C8" i="2"/>
  <c r="E8" i="2"/>
  <c r="G8" i="2"/>
  <c r="H8" i="2" s="1"/>
  <c r="I8" i="2"/>
  <c r="I5" i="2"/>
  <c r="I6" i="2"/>
  <c r="I9" i="2"/>
  <c r="I10" i="2"/>
  <c r="I11" i="2"/>
  <c r="I12" i="2"/>
  <c r="I13" i="2"/>
  <c r="I14" i="2"/>
  <c r="I15" i="2"/>
  <c r="I16" i="2"/>
  <c r="I17" i="2"/>
  <c r="G5" i="2"/>
  <c r="G6" i="2"/>
  <c r="G9" i="2"/>
  <c r="G10" i="2"/>
  <c r="G11" i="2"/>
  <c r="G12" i="2"/>
  <c r="G13" i="2"/>
  <c r="G14" i="2"/>
  <c r="G15" i="2"/>
  <c r="G16" i="2"/>
  <c r="G17" i="2"/>
  <c r="E5" i="2"/>
  <c r="E6" i="2"/>
  <c r="E9" i="2"/>
  <c r="E10" i="2"/>
  <c r="E11" i="2"/>
  <c r="E12" i="2"/>
  <c r="E13" i="2"/>
  <c r="E14" i="2"/>
  <c r="E15" i="2"/>
  <c r="E16" i="2"/>
  <c r="E17" i="2"/>
  <c r="F6" i="3"/>
  <c r="F25" i="3"/>
  <c r="F24" i="3"/>
  <c r="F23" i="3"/>
  <c r="F22" i="3"/>
  <c r="L9" i="3" s="1"/>
  <c r="F21" i="3"/>
  <c r="F20" i="3"/>
  <c r="F19" i="3"/>
  <c r="F18" i="3"/>
  <c r="F17" i="3"/>
  <c r="L8" i="3" s="1"/>
  <c r="F16" i="3"/>
  <c r="F15" i="3"/>
  <c r="F14" i="3"/>
  <c r="F13" i="3"/>
  <c r="L7" i="3" s="1"/>
  <c r="F12" i="3"/>
  <c r="F11" i="3"/>
  <c r="F10" i="3"/>
  <c r="F9" i="3"/>
  <c r="F8" i="3"/>
  <c r="F7" i="3"/>
  <c r="L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6" i="3"/>
  <c r="I6" i="3"/>
  <c r="H5" i="2"/>
  <c r="H6" i="2"/>
  <c r="H9" i="2"/>
  <c r="H10" i="2"/>
  <c r="H11" i="2"/>
  <c r="H12" i="2"/>
  <c r="H13" i="2"/>
  <c r="H14" i="2"/>
  <c r="H15" i="2"/>
  <c r="H16" i="2"/>
  <c r="H17" i="2"/>
  <c r="C6" i="2"/>
  <c r="C9" i="2"/>
  <c r="C10" i="2"/>
  <c r="C11" i="2"/>
  <c r="C12" i="2"/>
  <c r="C13" i="2"/>
  <c r="C14" i="2"/>
  <c r="C15" i="2"/>
  <c r="C16" i="2"/>
  <c r="C17" i="2"/>
  <c r="C5" i="2"/>
  <c r="R7" i="3" l="1"/>
  <c r="R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55CBE3-0E84-4AD5-9233-5E4D58D00A5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18B162-07D8-4C2E-A98C-0CAEBB5C3018}" name="WorksheetConnection_1.Inventory &amp; Srock Management 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1.InventorySrockManagement.xlsxTable31"/>
        </x15:connection>
      </ext>
    </extLst>
  </connection>
  <connection id="3" xr16:uid="{575B5AD5-B414-4245-BB90-3ED4F7161493}" name="WorksheetConnection_Inventory &amp; Srock Management .xlsx!Table26" type="102" refreshedVersion="8" minRefreshableVersion="5">
    <extLst>
      <ext xmlns:x15="http://schemas.microsoft.com/office/spreadsheetml/2010/11/main" uri="{DE250136-89BD-433C-8126-D09CA5730AF9}">
        <x15:connection id="Table26" autoDelete="1">
          <x15:rangePr sourceName="_xlcn.WorksheetConnection_InventorySrockManagement.xlsxTable261"/>
        </x15:connection>
      </ext>
    </extLst>
  </connection>
</connections>
</file>

<file path=xl/sharedStrings.xml><?xml version="1.0" encoding="utf-8"?>
<sst xmlns="http://schemas.openxmlformats.org/spreadsheetml/2006/main" count="262" uniqueCount="115">
  <si>
    <t>Produk ID</t>
  </si>
  <si>
    <t>Product Name</t>
  </si>
  <si>
    <t>Category</t>
  </si>
  <si>
    <t xml:space="preserve">Supplier </t>
  </si>
  <si>
    <t xml:space="preserve">Minimum Stock </t>
  </si>
  <si>
    <t>P001</t>
  </si>
  <si>
    <t>P002</t>
  </si>
  <si>
    <t>P003</t>
  </si>
  <si>
    <t>Pulpen Biru</t>
  </si>
  <si>
    <t>Pulpen Hitam</t>
  </si>
  <si>
    <t>Buku Tulis A5</t>
  </si>
  <si>
    <t>Buku Tulis A4</t>
  </si>
  <si>
    <t xml:space="preserve">Penghapus Putih </t>
  </si>
  <si>
    <t>Pensil HB</t>
  </si>
  <si>
    <t xml:space="preserve">Penggaris 30 cm </t>
  </si>
  <si>
    <t>Map Folder Merah</t>
  </si>
  <si>
    <t xml:space="preserve">Map Folder Biru </t>
  </si>
  <si>
    <t>Stapler Besar</t>
  </si>
  <si>
    <t>Isi Staples</t>
  </si>
  <si>
    <t>Kertas HVS A4</t>
  </si>
  <si>
    <t>Kertas HVS F4</t>
  </si>
  <si>
    <t>Sticky Note</t>
  </si>
  <si>
    <t>Binder Clip Kecil</t>
  </si>
  <si>
    <t xml:space="preserve">Binder Clip Besar </t>
  </si>
  <si>
    <t>Spidol Hitam</t>
  </si>
  <si>
    <t xml:space="preserve">Spidol Merah </t>
  </si>
  <si>
    <t xml:space="preserve">Correction Tape </t>
  </si>
  <si>
    <t xml:space="preserve">Label Stiker </t>
  </si>
  <si>
    <t xml:space="preserve">Stationery </t>
  </si>
  <si>
    <t xml:space="preserve">Office </t>
  </si>
  <si>
    <t>Paper</t>
  </si>
  <si>
    <t>Marker</t>
  </si>
  <si>
    <t xml:space="preserve">Sinar Jaya </t>
  </si>
  <si>
    <t xml:space="preserve">Karya Abadi </t>
  </si>
  <si>
    <t>Maju Sentosa</t>
  </si>
  <si>
    <t>Indah Office</t>
  </si>
  <si>
    <t>Paperindo</t>
  </si>
  <si>
    <t>Smart Supplies</t>
  </si>
  <si>
    <t>Tulis Makmur</t>
  </si>
  <si>
    <t>Label Nusantara</t>
  </si>
  <si>
    <t xml:space="preserve">Unit Price </t>
  </si>
  <si>
    <t>Current Stock</t>
  </si>
  <si>
    <t xml:space="preserve">Status </t>
  </si>
  <si>
    <t xml:space="preserve">Date </t>
  </si>
  <si>
    <t>Product ID</t>
  </si>
  <si>
    <t>Transaction Type</t>
  </si>
  <si>
    <t>Unit Price</t>
  </si>
  <si>
    <t xml:space="preserve">Category </t>
  </si>
  <si>
    <t>Quantity</t>
  </si>
  <si>
    <t xml:space="preserve">Total Value </t>
  </si>
  <si>
    <t>Warehouse</t>
  </si>
  <si>
    <t>Staff Name</t>
  </si>
  <si>
    <t>Reference No</t>
  </si>
  <si>
    <t>Remarks</t>
  </si>
  <si>
    <t xml:space="preserve">STOCK MOVEMENT REPORT </t>
  </si>
  <si>
    <t>P005</t>
  </si>
  <si>
    <t>P010</t>
  </si>
  <si>
    <t>P012</t>
  </si>
  <si>
    <t>P017</t>
  </si>
  <si>
    <t>P004</t>
  </si>
  <si>
    <t>P006</t>
  </si>
  <si>
    <t>P008</t>
  </si>
  <si>
    <t>P011</t>
  </si>
  <si>
    <t>P018</t>
  </si>
  <si>
    <t>Stock Out</t>
  </si>
  <si>
    <t xml:space="preserve">Stock In </t>
  </si>
  <si>
    <t>Stock out</t>
  </si>
  <si>
    <t>WH-A</t>
  </si>
  <si>
    <t>WH-B</t>
  </si>
  <si>
    <t>WH-C</t>
  </si>
  <si>
    <t xml:space="preserve">Rachel </t>
  </si>
  <si>
    <t>INV001</t>
  </si>
  <si>
    <t>INV003</t>
  </si>
  <si>
    <t>INV005</t>
  </si>
  <si>
    <t>INV002</t>
  </si>
  <si>
    <t>INV004</t>
  </si>
  <si>
    <t>INV006</t>
  </si>
  <si>
    <t>INV008</t>
  </si>
  <si>
    <t>Dhea</t>
  </si>
  <si>
    <t>INV007</t>
  </si>
  <si>
    <t>INV009</t>
  </si>
  <si>
    <t>OUT001</t>
  </si>
  <si>
    <t>Restock</t>
  </si>
  <si>
    <t>Customer sale</t>
  </si>
  <si>
    <t>Supplier Delivery</t>
  </si>
  <si>
    <t xml:space="preserve">Dhea </t>
  </si>
  <si>
    <t>OUT002</t>
  </si>
  <si>
    <t>Office Use</t>
  </si>
  <si>
    <t>OUT003</t>
  </si>
  <si>
    <t>Return In</t>
  </si>
  <si>
    <t>OUT004</t>
  </si>
  <si>
    <t xml:space="preserve">INVENTORY MANAGEMENT DASHBOARD </t>
  </si>
  <si>
    <t xml:space="preserve">Current Stock </t>
  </si>
  <si>
    <t>P007</t>
  </si>
  <si>
    <t>P009</t>
  </si>
  <si>
    <t>P013</t>
  </si>
  <si>
    <t>P014</t>
  </si>
  <si>
    <t>P015</t>
  </si>
  <si>
    <t>P016</t>
  </si>
  <si>
    <t>P019</t>
  </si>
  <si>
    <t>P020</t>
  </si>
  <si>
    <t>Stock In</t>
  </si>
  <si>
    <t>Total</t>
  </si>
  <si>
    <t>Available</t>
  </si>
  <si>
    <t xml:space="preserve">Total Stock </t>
  </si>
  <si>
    <t>Jumlah Produk</t>
  </si>
  <si>
    <t>Low of Stock</t>
  </si>
  <si>
    <t>Row Labels</t>
  </si>
  <si>
    <t>Grand Total</t>
  </si>
  <si>
    <t>Office</t>
  </si>
  <si>
    <t>Stationery</t>
  </si>
  <si>
    <t>Kuantitas produk</t>
  </si>
  <si>
    <t xml:space="preserve">PAPER &amp; PEN MART </t>
  </si>
  <si>
    <t>Maret 2025</t>
  </si>
  <si>
    <t>MARET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</si>
</sst>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2"/>
      <name val="Calibri"/>
      <family val="2"/>
      <scheme val="minor"/>
    </font>
    <font>
      <b/>
      <sz val="18"/>
      <color theme="2"/>
      <name val="Calibri"/>
      <family val="2"/>
      <scheme val="minor"/>
    </font>
    <font>
      <sz val="18"/>
      <color theme="0"/>
      <name val="Adobe Caslon Pro"/>
      <family val="1"/>
    </font>
    <font>
      <sz val="18"/>
      <color rgb="FFFF0000"/>
      <name val="Adobe Caslon Pro"/>
      <family val="1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44BCA8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2" fontId="0" fillId="0" borderId="1" xfId="0" applyNumberFormat="1" applyBorder="1"/>
    <xf numFmtId="0" fontId="0" fillId="0" borderId="3" xfId="0" applyBorder="1"/>
    <xf numFmtId="0" fontId="0" fillId="0" borderId="8" xfId="0" applyBorder="1"/>
    <xf numFmtId="42" fontId="0" fillId="0" borderId="8" xfId="0" applyNumberFormat="1" applyBorder="1"/>
    <xf numFmtId="0" fontId="0" fillId="0" borderId="9" xfId="0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/>
    <xf numFmtId="14" fontId="0" fillId="0" borderId="7" xfId="0" applyNumberFormat="1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42" fontId="0" fillId="0" borderId="1" xfId="0" applyNumberFormat="1" applyBorder="1" applyAlignment="1">
      <alignment horizontal="center"/>
    </xf>
    <xf numFmtId="42" fontId="0" fillId="0" borderId="3" xfId="0" applyNumberFormat="1" applyBorder="1" applyAlignment="1">
      <alignment horizontal="center"/>
    </xf>
    <xf numFmtId="42" fontId="0" fillId="0" borderId="9" xfId="0" applyNumberFormat="1" applyBorder="1" applyAlignment="1">
      <alignment horizontal="center"/>
    </xf>
    <xf numFmtId="0" fontId="5" fillId="5" borderId="0" xfId="0" applyFont="1" applyFill="1" applyAlignment="1">
      <alignment horizontal="centerContinuous" vertic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6" fillId="7" borderId="0" xfId="0" applyFont="1" applyFill="1" applyAlignment="1">
      <alignment horizontal="centerContinuous"/>
    </xf>
    <xf numFmtId="0" fontId="0" fillId="7" borderId="0" xfId="0" applyFill="1" applyAlignment="1">
      <alignment horizontal="centerContinuous"/>
    </xf>
    <xf numFmtId="0" fontId="0" fillId="8" borderId="0" xfId="0" applyFill="1" applyAlignment="1">
      <alignment horizontal="centerContinuous"/>
    </xf>
    <xf numFmtId="0" fontId="0" fillId="8" borderId="0" xfId="0" applyFill="1"/>
    <xf numFmtId="0" fontId="0" fillId="0" borderId="1" xfId="0" pivotButton="1" applyBorder="1"/>
    <xf numFmtId="1" fontId="0" fillId="0" borderId="1" xfId="0" applyNumberFormat="1" applyBorder="1"/>
    <xf numFmtId="0" fontId="7" fillId="7" borderId="0" xfId="0" applyFont="1" applyFill="1" applyAlignment="1">
      <alignment horizontal="centerContinuous"/>
    </xf>
    <xf numFmtId="0" fontId="8" fillId="4" borderId="0" xfId="0" applyFont="1" applyFill="1" applyAlignment="1">
      <alignment horizontal="centerContinuous"/>
    </xf>
    <xf numFmtId="0" fontId="9" fillId="4" borderId="0" xfId="0" applyFont="1" applyFill="1" applyAlignment="1">
      <alignment horizontal="centerContinuous"/>
    </xf>
    <xf numFmtId="0" fontId="4" fillId="4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/>
    </xf>
  </cellXfs>
  <cellStyles count="1">
    <cellStyle name="Normal" xfId="0" builtinId="0"/>
  </cellStyles>
  <dxfs count="6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32" formatCode="_-&quot;Rp&quot;* #,##0_-;\-&quot;Rp&quot;* #,##0_-;_-&quot;Rp&quot;* &quot;-&quot;_-;_-@_-"/>
    </dxf>
    <dxf>
      <numFmt numFmtId="32" formatCode="_-&quot;Rp&quot;* #,##0_-;\-&quot;Rp&quot;* #,##0_-;_-&quot;Rp&quot;* &quot;-&quot;_-;_-@_-"/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2" formatCode="_-&quot;Rp&quot;* #,##0_-;\-&quot;Rp&quot;* #,##0_-;_-&quot;Rp&quot;* &quot;-&quot;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2" formatCode="_-&quot;Rp&quot;* #,##0_-;\-&quot;Rp&quot;* #,##0_-;_-&quot;Rp&quot;* &quot;-&quot;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-&quot;Rp&quot;* #,##0_-;\-&quot;Rp&quot;* #,##0_-;_-&quot;Rp&quot;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-&quot;Rp&quot;* #,##0_-;\-&quot;Rp&quot;* #,##0_-;_-&quot;Rp&quot;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4BCA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Rp&quot;* #,##0_-;\-&quot;Rp&quot;* #,##0_-;_-&quot;Rp&quot;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4D4D4D"/>
      <color rgb="FFFF0000"/>
      <color rgb="FF44BC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DISTRIBUTION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Inventory_summary!$L$5</c:f>
              <c:strCache>
                <c:ptCount val="1"/>
                <c:pt idx="0">
                  <c:v>Total Stock 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Inventory_summary!$K$6:$K$9</c:f>
              <c:strCache>
                <c:ptCount val="4"/>
                <c:pt idx="0">
                  <c:v>Stationery </c:v>
                </c:pt>
                <c:pt idx="1">
                  <c:v>Office </c:v>
                </c:pt>
                <c:pt idx="2">
                  <c:v>Paper</c:v>
                </c:pt>
                <c:pt idx="3">
                  <c:v>Marker</c:v>
                </c:pt>
              </c:strCache>
            </c:strRef>
          </c:cat>
          <c:val>
            <c:numRef>
              <c:f>Inventory_summary!$L$6:$L$9</c:f>
              <c:numCache>
                <c:formatCode>General</c:formatCode>
                <c:ptCount val="4"/>
                <c:pt idx="0">
                  <c:v>276</c:v>
                </c:pt>
                <c:pt idx="1">
                  <c:v>147</c:v>
                </c:pt>
                <c:pt idx="2">
                  <c:v>68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7-4433-9407-7CE8170143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22843744"/>
        <c:axId val="1622849984"/>
        <c:axId val="0"/>
      </c:bar3DChart>
      <c:catAx>
        <c:axId val="162284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849984"/>
        <c:crosses val="autoZero"/>
        <c:auto val="1"/>
        <c:lblAlgn val="ctr"/>
        <c:lblOffset val="100"/>
        <c:noMultiLvlLbl val="0"/>
      </c:catAx>
      <c:valAx>
        <c:axId val="1622849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284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Inventory_summary!$R$5</c:f>
              <c:strCache>
                <c:ptCount val="1"/>
                <c:pt idx="0">
                  <c:v>Jumlah Produk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246-44F6-8CFC-4F68488D9D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246-44F6-8CFC-4F68488D9DD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Inventory_summary!$Q$6:$Q$7</c:f>
              <c:strCache>
                <c:ptCount val="2"/>
                <c:pt idx="0">
                  <c:v>Available</c:v>
                </c:pt>
                <c:pt idx="1">
                  <c:v>Low of Stock</c:v>
                </c:pt>
              </c:strCache>
            </c:strRef>
          </c:cat>
          <c:val>
            <c:numRef>
              <c:f>Inventory_summary!$R$6:$R$7</c:f>
              <c:numCache>
                <c:formatCode>General</c:formatCode>
                <c:ptCount val="2"/>
                <c:pt idx="0">
                  <c:v>18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F-4BC2-92F8-D92478308F87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266390</xdr:colOff>
      <xdr:row>11</xdr:row>
      <xdr:rowOff>35970</xdr:rowOff>
    </xdr:from>
    <xdr:to>
      <xdr:col>15</xdr:col>
      <xdr:colOff>129153</xdr:colOff>
      <xdr:row>23</xdr:row>
      <xdr:rowOff>177583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27F4F9-AEAE-FE47-00BB-70DCDBB1D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474637</xdr:colOff>
      <xdr:row>11</xdr:row>
      <xdr:rowOff>8717</xdr:rowOff>
    </xdr:from>
    <xdr:to>
      <xdr:col>21</xdr:col>
      <xdr:colOff>209873</xdr:colOff>
      <xdr:row>24</xdr:row>
      <xdr:rowOff>96864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40ACFD-41E0-43DF-B337-C97D645A5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40.733678819444" backgroundQuery="1" createdVersion="8" refreshedVersion="8" minRefreshableVersion="3" recordCount="0" supportSubquery="1" supportAdvancedDrill="1" xr:uid="{D042EE7B-18DF-474D-A70D-A4B212F8B881}">
  <cacheSource type="external" connectionId="1"/>
  <cacheFields count="4">
    <cacheField name="[Measures].[Sum of Current Stock]" caption="Sum of Current Stock" numFmtId="0" hierarchy="24" level="32767"/>
    <cacheField name="[Table26].[Category].[Category]" caption="Category" numFmtId="0" hierarchy="2" level="1">
      <sharedItems count="4">
        <s v="Marker"/>
        <s v="Office"/>
        <s v="Paper"/>
        <s v="Stationery"/>
      </sharedItems>
    </cacheField>
    <cacheField name="[Measures].[Sum of Total]" caption="Sum of Total" numFmtId="0" hierarchy="25" level="32767"/>
    <cacheField name="[Table3].[Category].[Category]" caption="Category" numFmtId="0" hierarchy="13" level="1">
      <sharedItems containsSemiMixedTypes="0" containsNonDate="0" containsString="0"/>
    </cacheField>
  </cacheFields>
  <cacheHierarchies count="26">
    <cacheHierarchy uniqueName="[Table26].[Product ID]" caption="Product ID" attribute="1" defaultMemberUniqueName="[Table26].[Product ID].[All]" allUniqueName="[Table26].[Product ID].[All]" dimensionUniqueName="[Table26]" displayFolder="" count="2" memberValueDatatype="130" unbalanced="0"/>
    <cacheHierarchy uniqueName="[Table26].[Product Name]" caption="Product Name" attribute="1" defaultMemberUniqueName="[Table26].[Product Name].[All]" allUniqueName="[Table26].[Product Name].[All]" dimensionUniqueName="[Table26]" displayFolder="" count="2" memberValueDatatype="130" unbalanced="0"/>
    <cacheHierarchy uniqueName="[Table26].[Category]" caption="Category" attribute="1" defaultMemberUniqueName="[Table26].[Category].[All]" allUniqueName="[Table26].[Category].[All]" dimensionUniqueName="[Table26]" displayFolder="" count="2" memberValueDatatype="130" unbalanced="0">
      <fieldsUsage count="2">
        <fieldUsage x="-1"/>
        <fieldUsage x="1"/>
      </fieldsUsage>
    </cacheHierarchy>
    <cacheHierarchy uniqueName="[Table26].[Stock In]" caption="Stock In" attribute="1" defaultMemberUniqueName="[Table26].[Stock In].[All]" allUniqueName="[Table26].[Stock In].[All]" dimensionUniqueName="[Table26]" displayFolder="" count="2" memberValueDatatype="20" unbalanced="0"/>
    <cacheHierarchy uniqueName="[Table26].[Stock Out]" caption="Stock Out" attribute="1" defaultMemberUniqueName="[Table26].[Stock Out].[All]" allUniqueName="[Table26].[Stock Out].[All]" dimensionUniqueName="[Table26]" displayFolder="" count="2" memberValueDatatype="20" unbalanced="0"/>
    <cacheHierarchy uniqueName="[Table26].[Current Stock]" caption="Current Stock" attribute="1" defaultMemberUniqueName="[Table26].[Current Stock].[All]" allUniqueName="[Table26].[Current Stock].[All]" dimensionUniqueName="[Table26]" displayFolder="" count="2" memberValueDatatype="20" unbalanced="0"/>
    <cacheHierarchy uniqueName="[Table26].[Unit Price]" caption="Unit Price" attribute="1" defaultMemberUniqueName="[Table26].[Unit Price].[All]" allUniqueName="[Table26].[Unit Price].[All]" dimensionUniqueName="[Table26]" displayFolder="" count="2" memberValueDatatype="20" unbalanced="0"/>
    <cacheHierarchy uniqueName="[Table26].[Total]" caption="Total" attribute="1" defaultMemberUniqueName="[Table26].[Total].[All]" allUniqueName="[Table26].[Total].[All]" dimensionUniqueName="[Table26]" displayFolder="" count="2" memberValueDatatype="20" unbalanced="0"/>
    <cacheHierarchy uniqueName="[Table26].[Status]" caption="Status" attribute="1" defaultMemberUniqueName="[Table26].[Status].[All]" allUniqueName="[Table26].[Status].[All]" dimensionUniqueName="[Table26]" displayFolder="" count="2" memberValueDatatype="130" unbalanced="0"/>
    <cacheHierarchy uniqueName="[Table3].[Date]" caption="Date" attribute="1" time="1" defaultMemberUniqueName="[Table3].[Date].[All]" allUniqueName="[Table3].[Date].[All]" dimensionUniqueName="[Table3]" displayFolder="" count="2" memberValueDatatype="7" unbalanced="0"/>
    <cacheHierarchy uniqueName="[Table3].[Product ID]" caption="Product ID" attribute="1" defaultMemberUniqueName="[Table3].[Product ID].[All]" allUniqueName="[Table3].[Product ID].[All]" dimensionUniqueName="[Table3]" displayFolder="" count="2" memberValueDatatype="130" unbalanced="0"/>
    <cacheHierarchy uniqueName="[Table3].[Product Name]" caption="Product Name" attribute="1" defaultMemberUniqueName="[Table3].[Product Name].[All]" allUniqueName="[Table3].[Product Name].[All]" dimensionUniqueName="[Table3]" displayFolder="" count="2" memberValueDatatype="130" unbalanced="0"/>
    <cacheHierarchy uniqueName="[Table3].[Transaction Type]" caption="Transaction Type" attribute="1" defaultMemberUniqueName="[Table3].[Transaction Type].[All]" allUniqueName="[Table3].[Transaction Type].[All]" dimensionUniqueName="[Table3]" displayFolder="" count="2" memberValueDatatype="130" unbalanced="0"/>
    <cacheHierarchy uniqueName="[Table3].[Category]" caption="Category" attribute="1" defaultMemberUniqueName="[Table3].[Category].[All]" allUniqueName="[Table3].[Category].[All]" dimensionUniqueName="[Table3]" displayFolder="" count="2" memberValueDatatype="130" unbalanced="0">
      <fieldsUsage count="2">
        <fieldUsage x="-1"/>
        <fieldUsage x="3"/>
      </fieldsUsage>
    </cacheHierarchy>
    <cacheHierarchy uniqueName="[Table3].[Quantity]" caption="Quantity" attribute="1" defaultMemberUniqueName="[Table3].[Quantity].[All]" allUniqueName="[Table3].[Quantity].[All]" dimensionUniqueName="[Table3]" displayFolder="" count="2" memberValueDatatype="20" unbalanced="0"/>
    <cacheHierarchy uniqueName="[Table3].[Unit Price]" caption="Unit Price" attribute="1" defaultMemberUniqueName="[Table3].[Unit Price].[All]" allUniqueName="[Table3].[Unit Price].[All]" dimensionUniqueName="[Table3]" displayFolder="" count="2" memberValueDatatype="20" unbalanced="0"/>
    <cacheHierarchy uniqueName="[Table3].[Total Value]" caption="Total Value" attribute="1" defaultMemberUniqueName="[Table3].[Total Value].[All]" allUniqueName="[Table3].[Total Value].[All]" dimensionUniqueName="[Table3]" displayFolder="" count="2" memberValueDatatype="20" unbalanced="0"/>
    <cacheHierarchy uniqueName="[Table3].[Warehouse]" caption="Warehouse" attribute="1" defaultMemberUniqueName="[Table3].[Warehouse].[All]" allUniqueName="[Table3].[Warehouse].[All]" dimensionUniqueName="[Table3]" displayFolder="" count="2" memberValueDatatype="130" unbalanced="0"/>
    <cacheHierarchy uniqueName="[Table3].[Staff Name]" caption="Staff Name" attribute="1" defaultMemberUniqueName="[Table3].[Staff Name].[All]" allUniqueName="[Table3].[Staff Name].[All]" dimensionUniqueName="[Table3]" displayFolder="" count="2" memberValueDatatype="130" unbalanced="0"/>
    <cacheHierarchy uniqueName="[Table3].[Reference No]" caption="Reference No" attribute="1" defaultMemberUniqueName="[Table3].[Reference No].[All]" allUniqueName="[Table3].[Reference No].[All]" dimensionUniqueName="[Table3]" displayFolder="" count="2" memberValueDatatype="130" unbalanced="0"/>
    <cacheHierarchy uniqueName="[Table3].[Remarks]" caption="Remarks" attribute="1" defaultMemberUniqueName="[Table3].[Remarks].[All]" allUniqueName="[Table3].[Remarks].[All]" dimensionUniqueName="[Table3]" displayFolder="" count="2" memberValueDatatype="130" unbalanced="0"/>
    <cacheHierarchy uniqueName="[Measures].[__XL_Count Table26]" caption="__XL_Count Table26" measure="1" displayFolder="" measureGroup="Table26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Current Stock]" caption="Sum of Current Stock" measure="1" displayFolder="" measureGroup="Table26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26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Table26" uniqueName="[Table26]" caption="Table26"/>
    <dimension name="Table3" uniqueName="[Table3]" caption="Table3"/>
  </dimensions>
  <measureGroups count="2">
    <measureGroup name="Table26" caption="Table26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39ABE-F59D-4C7B-9217-8C9138F9D068}" name="PivotTable4" cacheId="2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7">
  <location ref="A3:C8" firstHeaderRow="0" firstDataRow="1" firstDataCol="1"/>
  <pivotFields count="4">
    <pivotField dataField="1" subtotalTop="0" showAll="0" defaultSubtotal="0"/>
    <pivotField name="Kategory"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Kuantitas produk" fld="0" baseField="0" baseItem="0" numFmtId="1"/>
    <dataField name="Total" fld="2" baseField="1" baseItem="0"/>
  </dataFields>
  <formats count="9">
    <format dxfId="17">
      <pivotArea collapsedLevelsAreSubtotals="1" fieldPosition="0">
        <references count="1">
          <reference field="1" count="0"/>
        </references>
      </pivotArea>
    </format>
    <format dxfId="16">
      <pivotArea grandRow="1" outline="0" collapsedLevelsAreSubtotals="1" fieldPosition="0"/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3].[Category].&amp;[Marker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Kuantitas produk"/>
    <pivotHierarchy dragToData="1" caption="Total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ventory &amp; Srock Management .xlsx!Table26">
        <x15:activeTabTopLevelEntity name="[Table26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2EC43A-A7B8-496B-BC48-51FFB3BB3CFB}" name="Table1" displayName="Table1" ref="A3:I23" totalsRowShown="0" headerRowDxfId="66" dataDxfId="64" headerRowBorderDxfId="65" tableBorderDxfId="63" totalsRowBorderDxfId="62">
  <autoFilter ref="A3:I23" xr:uid="{FD00FD74-4FD9-4035-8D0B-DD3B667251FE}"/>
  <tableColumns count="9">
    <tableColumn id="1" xr3:uid="{FAE77799-C623-454E-9529-974DA4D71F9E}" name="Produk ID" dataDxfId="61">
      <calculatedColumnFormula>"P"&amp;TEXT(ROW(A1),"000")</calculatedColumnFormula>
    </tableColumn>
    <tableColumn id="2" xr3:uid="{14484B42-0EA9-466E-835B-42BCFE5BC0D7}" name="Product Name" dataDxfId="60"/>
    <tableColumn id="9" xr3:uid="{D6C612E9-E284-4332-A896-8A83948F4F7A}" name="Warehouse" dataDxfId="59"/>
    <tableColumn id="3" xr3:uid="{E9FE3B81-4AD4-4C98-82B4-AEEB69E6C88B}" name="Category" dataDxfId="58"/>
    <tableColumn id="4" xr3:uid="{9B386C3A-2C1C-45CE-A1C9-99E21AFDF09C}" name="Supplier " dataDxfId="57"/>
    <tableColumn id="5" xr3:uid="{7549767D-DD43-44DB-93C7-558CEF94458E}" name="Unit Price " dataDxfId="56"/>
    <tableColumn id="6" xr3:uid="{39F8FF68-0F60-4898-8474-0CEBC68D2B8C}" name="Minimum Stock " dataDxfId="55"/>
    <tableColumn id="7" xr3:uid="{1E347A77-8590-45DC-BE40-8DDA8AB111FC}" name="Current Stock" dataDxfId="54"/>
    <tableColumn id="8" xr3:uid="{65A2D945-1494-4D51-A44D-FF421DA72785}" name="Status " dataDxfId="53">
      <calculatedColumnFormula>IF(Table1[[#This Row],[Current Stock]]&gt;10,"Available","Low Stock")</calculatedColumnFormula>
    </tableColumn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3D4B1E-CAF9-4A26-A9E1-802EC3239827}" name="Table3" displayName="Table3" ref="A4:L17" totalsRowShown="0" headerRowDxfId="52" headerRowBorderDxfId="51" tableBorderDxfId="50" totalsRowBorderDxfId="49">
  <autoFilter ref="A4:L17" xr:uid="{A43D4B1E-CAF9-4A26-A9E1-802EC3239827}"/>
  <tableColumns count="12">
    <tableColumn id="1" xr3:uid="{066B645A-3AAF-4DFC-99A6-FED829FDAE1B}" name="Date " dataDxfId="48"/>
    <tableColumn id="2" xr3:uid="{62EA8845-A58A-4C9D-972B-C527C022E4BC}" name="Product ID" dataDxfId="47"/>
    <tableColumn id="3" xr3:uid="{003C362A-E1A4-46BB-987D-515FD276035D}" name="Product Name" dataDxfId="46">
      <calculatedColumnFormula>VLOOKUP(B5,Table1[#All],2,0)</calculatedColumnFormula>
    </tableColumn>
    <tableColumn id="4" xr3:uid="{AD43DC56-CA74-4C03-8EA5-853A461A8E39}" name="Transaction Type" dataDxfId="45"/>
    <tableColumn id="5" xr3:uid="{6592A64B-FE56-49FA-9878-DC7772C7E270}" name="Category " dataDxfId="44">
      <calculatedColumnFormula>VLOOKUP(B5,Table1[#All],4,0)</calculatedColumnFormula>
    </tableColumn>
    <tableColumn id="6" xr3:uid="{B42C8B20-3AE7-4FF3-91B2-1E4758B2D289}" name="Quantity" dataDxfId="43"/>
    <tableColumn id="7" xr3:uid="{2ABC0F6F-EECB-41DB-8AE8-683B1EEB90AB}" name="Unit Price" dataDxfId="42">
      <calculatedColumnFormula>VLOOKUP(Table3[[#This Row],[Product ID]],Table1[#All],6,0)</calculatedColumnFormula>
    </tableColumn>
    <tableColumn id="8" xr3:uid="{BB095F1B-0D07-4B1D-B997-5AD4AC17C0C2}" name="Total Value " dataDxfId="41">
      <calculatedColumnFormula>Table3[[#This Row],[Quantity]]*Table3[[#This Row],[Unit Price]]</calculatedColumnFormula>
    </tableColumn>
    <tableColumn id="9" xr3:uid="{3252FF91-80F6-4CA5-9533-3A24110D483C}" name="Warehouse" dataDxfId="40">
      <calculatedColumnFormula>VLOOKUP(Table3[[#This Row],[Product ID]],Table1[#All],3,0)</calculatedColumnFormula>
    </tableColumn>
    <tableColumn id="10" xr3:uid="{0E37608D-8367-4903-BEDC-A6B36D2BB67E}" name="Staff Name" dataDxfId="39"/>
    <tableColumn id="11" xr3:uid="{8C1C6F3A-A516-4FD1-987E-A10A3846AE4C}" name="Reference No" dataDxfId="38"/>
    <tableColumn id="12" xr3:uid="{4CD487BE-C11D-4AF0-82AF-95261900995F}" name="Remarks" dataDxfId="37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945BC4-07BA-4B52-91CA-A167C58BB2C0}" name="Table2" displayName="Table2" ref="A5:I25" totalsRowShown="0" headerRowDxfId="36" dataDxfId="34" headerRowBorderDxfId="35" tableBorderDxfId="33" totalsRowBorderDxfId="32">
  <autoFilter ref="A5:I25" xr:uid="{07945BC4-07BA-4B52-91CA-A167C58BB2C0}"/>
  <tableColumns count="9">
    <tableColumn id="1" xr3:uid="{E3877EBE-5484-4E8B-A43E-159257D0965B}" name="Product ID" dataDxfId="31"/>
    <tableColumn id="2" xr3:uid="{4BC5FF41-7ECB-439C-8703-EDCB57E726A6}" name="Product Name" dataDxfId="30"/>
    <tableColumn id="3" xr3:uid="{A28BA9CB-46CF-4A90-90EB-9E2B6579CCD6}" name="Category " dataDxfId="29"/>
    <tableColumn id="4" xr3:uid="{541B2132-F9B1-4B25-BE86-60328BFC1583}" name="Stock In " dataDxfId="28">
      <calculatedColumnFormula>SUMIFS(Table3[Quantity],Table3[Product ID],Table2[[#This Row],[Product ID]],Table3[Transaction Type],"Stock In")</calculatedColumnFormula>
    </tableColumn>
    <tableColumn id="5" xr3:uid="{0FD2C2B6-D760-475E-971C-4F5CC71049E2}" name="Stock Out" dataDxfId="27">
      <calculatedColumnFormula>SUMIFS(Table3[Quantity],Table3[Product ID],Table2[[#This Row],[Product ID]],Table3[Transaction Type],"Stock Out")</calculatedColumnFormula>
    </tableColumn>
    <tableColumn id="6" xr3:uid="{59E70648-3CB5-4C31-B2C5-D6BA6FF57347}" name="Current Stock " dataDxfId="26">
      <calculatedColumnFormula>VLOOKUP(Table2[[#This Row],[Product ID]],Table1[#All],8,0)+Table2[[#This Row],[Stock In ]]-Table2[[#This Row],[Stock Out]]</calculatedColumnFormula>
    </tableColumn>
    <tableColumn id="9" xr3:uid="{F637BCAD-519D-4526-996A-28525F3BAFDA}" name="Unit Price" dataDxfId="25">
      <calculatedColumnFormula>VLOOKUP(Table2[[#This Row],[Product ID]],Table1[#All],6,0)</calculatedColumnFormula>
    </tableColumn>
    <tableColumn id="10" xr3:uid="{191EC046-D0F0-49E3-AA28-D76015B53FFF}" name="Total" dataDxfId="24">
      <calculatedColumnFormula>Table2[[#This Row],[Current Stock ]]*Table2[[#This Row],[Unit Price]]</calculatedColumnFormula>
    </tableColumn>
    <tableColumn id="7" xr3:uid="{5B6AA3BF-0419-4258-A36F-6B7F72684855}" name="Status " dataDxfId="23">
      <calculatedColumnFormula>IF(Table2[[#This Row],[Current Stock ]]&gt;=Product_Master!G4,"Available",IF(Table2[[#This Row],[Current Stock ]]&lt;=Product_Master!G4,"Low Stock"," Out of Stock"))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40184B-F36E-4845-BC68-289AE2753FA3}" name="Table4" displayName="Table4" ref="K5:L9" totalsRowShown="0">
  <autoFilter ref="K5:L9" xr:uid="{2840184B-F36E-4845-BC68-289AE2753FA3}"/>
  <tableColumns count="2">
    <tableColumn id="1" xr3:uid="{C9B5A95A-84B2-45D6-BC22-BD573D5D6972}" name="Category"/>
    <tableColumn id="2" xr3:uid="{20A1404F-55D2-4B27-BAFE-59B1C06D091B}" name="Total Stock " dataDxfId="22">
      <calculatedColumnFormula>SUMIF(Table2[[Category ]],Table4[[#This Row],[Category]],Table2[[Current Stock ]])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1C568F-680D-4BB3-BC92-4B26AFA3B670}" name="Table6" displayName="Table6" ref="Q5:R8" totalsRowCount="1">
  <autoFilter ref="Q5:R7" xr:uid="{9B1C568F-680D-4BB3-BC92-4B26AFA3B670}"/>
  <tableColumns count="2">
    <tableColumn id="1" xr3:uid="{3F4B7749-6BDC-4689-97A8-0EFEB89F26F5}" name="Status " dataDxfId="21" totalsRowDxfId="20"/>
    <tableColumn id="2" xr3:uid="{7309042C-C0A9-42D5-8BF5-F0DC30026F1B}" name="Jumlah Produk" totalsRowFunction="sum" dataDxfId="19" totalsRowDxfId="18">
      <calculatedColumnFormula>COUNTIF(Table2[[Status ]],I11)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FD74-4FD9-4035-8D0B-DD3B667251FE}">
  <dimension ref="A1:I23"/>
  <sheetViews>
    <sheetView showGridLines="0" tabSelected="1" zoomScale="66" zoomScaleNormal="76" workbookViewId="0">
      <selection activeCell="M19" sqref="M19"/>
    </sheetView>
  </sheetViews>
  <sheetFormatPr defaultRowHeight="15" x14ac:dyDescent="0.25"/>
  <cols>
    <col min="1" max="1" width="16.5703125" style="15" bestFit="1" customWidth="1"/>
    <col min="2" max="2" width="21.42578125" bestFit="1" customWidth="1"/>
    <col min="3" max="3" width="17.85546875" style="15" bestFit="1" customWidth="1"/>
    <col min="4" max="4" width="15.5703125" bestFit="1" customWidth="1"/>
    <col min="5" max="5" width="16.140625" bestFit="1" customWidth="1"/>
    <col min="6" max="6" width="16.85546875" bestFit="1" customWidth="1"/>
    <col min="7" max="7" width="22.7109375" style="15" bestFit="1" customWidth="1"/>
    <col min="8" max="8" width="19.7109375" style="15" bestFit="1" customWidth="1"/>
    <col min="9" max="9" width="13.7109375" style="15" bestFit="1" customWidth="1"/>
  </cols>
  <sheetData>
    <row r="1" spans="1:9" ht="48.75" customHeight="1" x14ac:dyDescent="0.9">
      <c r="A1" s="32" t="s">
        <v>112</v>
      </c>
      <c r="B1" s="32"/>
      <c r="C1" s="32"/>
      <c r="D1" s="32"/>
      <c r="E1" s="32"/>
      <c r="F1" s="32"/>
      <c r="G1" s="32"/>
      <c r="H1" s="32"/>
      <c r="I1" s="32"/>
    </row>
    <row r="2" spans="1:9" ht="33.75" customHeight="1" x14ac:dyDescent="0.9">
      <c r="A2" s="38" t="s">
        <v>113</v>
      </c>
      <c r="B2" s="32"/>
      <c r="C2" s="32"/>
      <c r="D2" s="32"/>
      <c r="E2" s="32"/>
      <c r="F2" s="32"/>
      <c r="G2" s="32"/>
      <c r="H2" s="32"/>
      <c r="I2" s="32"/>
    </row>
    <row r="3" spans="1:9" ht="33.75" customHeight="1" x14ac:dyDescent="0.25">
      <c r="A3" s="8" t="s">
        <v>0</v>
      </c>
      <c r="B3" s="9" t="s">
        <v>1</v>
      </c>
      <c r="C3" s="9" t="s">
        <v>50</v>
      </c>
      <c r="D3" s="9" t="s">
        <v>2</v>
      </c>
      <c r="E3" s="9" t="s">
        <v>3</v>
      </c>
      <c r="F3" s="9" t="s">
        <v>40</v>
      </c>
      <c r="G3" s="10" t="s">
        <v>4</v>
      </c>
      <c r="H3" s="9" t="s">
        <v>41</v>
      </c>
      <c r="I3" s="9" t="s">
        <v>42</v>
      </c>
    </row>
    <row r="4" spans="1:9" x14ac:dyDescent="0.25">
      <c r="A4" s="18" t="str">
        <f>"P"&amp;TEXT(ROW(A1),"000")</f>
        <v>P001</v>
      </c>
      <c r="B4" s="1" t="s">
        <v>8</v>
      </c>
      <c r="C4" s="2" t="s">
        <v>67</v>
      </c>
      <c r="D4" s="1" t="s">
        <v>28</v>
      </c>
      <c r="E4" s="1" t="s">
        <v>32</v>
      </c>
      <c r="F4" s="3">
        <v>3000</v>
      </c>
      <c r="G4" s="11">
        <v>10</v>
      </c>
      <c r="H4" s="12">
        <v>25</v>
      </c>
      <c r="I4" s="12" t="str">
        <f>IF(Table1[[#This Row],[Current Stock]]&gt;10,"Available","Low Stock")</f>
        <v>Available</v>
      </c>
    </row>
    <row r="5" spans="1:9" x14ac:dyDescent="0.25">
      <c r="A5" s="18" t="str">
        <f>"P"&amp;TEXT(ROW(A2),"000")</f>
        <v>P002</v>
      </c>
      <c r="B5" s="1" t="s">
        <v>9</v>
      </c>
      <c r="C5" s="2" t="s">
        <v>67</v>
      </c>
      <c r="D5" s="1" t="s">
        <v>28</v>
      </c>
      <c r="E5" s="1" t="s">
        <v>32</v>
      </c>
      <c r="F5" s="3">
        <v>3000</v>
      </c>
      <c r="G5" s="11">
        <v>10</v>
      </c>
      <c r="H5" s="2">
        <v>18</v>
      </c>
      <c r="I5" s="12" t="str">
        <f>IF(Table1[[#This Row],[Current Stock]]&gt;10,"Available","Low Stock")</f>
        <v>Available</v>
      </c>
    </row>
    <row r="6" spans="1:9" x14ac:dyDescent="0.25">
      <c r="A6" s="18" t="str">
        <f t="shared" ref="A6:A23" si="0">"P"&amp;TEXT(ROW(A3),"000")</f>
        <v>P003</v>
      </c>
      <c r="B6" s="1" t="s">
        <v>10</v>
      </c>
      <c r="C6" s="2" t="s">
        <v>67</v>
      </c>
      <c r="D6" s="1" t="s">
        <v>28</v>
      </c>
      <c r="E6" s="1" t="s">
        <v>33</v>
      </c>
      <c r="F6" s="3">
        <v>7000</v>
      </c>
      <c r="G6" s="11">
        <v>15</v>
      </c>
      <c r="H6" s="2">
        <v>40</v>
      </c>
      <c r="I6" s="12" t="str">
        <f>IF(Table1[[#This Row],[Current Stock]]&gt;10,"Available","Low Stock")</f>
        <v>Available</v>
      </c>
    </row>
    <row r="7" spans="1:9" x14ac:dyDescent="0.25">
      <c r="A7" s="18" t="str">
        <f t="shared" si="0"/>
        <v>P004</v>
      </c>
      <c r="B7" s="1" t="s">
        <v>11</v>
      </c>
      <c r="C7" s="2" t="s">
        <v>67</v>
      </c>
      <c r="D7" s="1" t="s">
        <v>28</v>
      </c>
      <c r="E7" s="1" t="s">
        <v>33</v>
      </c>
      <c r="F7" s="3">
        <v>12000</v>
      </c>
      <c r="G7" s="11">
        <v>10</v>
      </c>
      <c r="H7" s="2">
        <v>6</v>
      </c>
      <c r="I7" s="12" t="str">
        <f>IF(Table1[[#This Row],[Current Stock]]&gt;10,"Available","Low Stock")</f>
        <v>Low Stock</v>
      </c>
    </row>
    <row r="8" spans="1:9" x14ac:dyDescent="0.25">
      <c r="A8" s="18" t="str">
        <f t="shared" si="0"/>
        <v>P005</v>
      </c>
      <c r="B8" s="1" t="s">
        <v>12</v>
      </c>
      <c r="C8" s="2" t="s">
        <v>67</v>
      </c>
      <c r="D8" s="1" t="s">
        <v>28</v>
      </c>
      <c r="E8" s="1" t="s">
        <v>33</v>
      </c>
      <c r="F8" s="3">
        <v>2000</v>
      </c>
      <c r="G8" s="11">
        <v>15</v>
      </c>
      <c r="H8" s="2">
        <v>3</v>
      </c>
      <c r="I8" s="12" t="str">
        <f>IF(Table1[[#This Row],[Current Stock]]&gt;10,"Available","Low Stock")</f>
        <v>Low Stock</v>
      </c>
    </row>
    <row r="9" spans="1:9" x14ac:dyDescent="0.25">
      <c r="A9" s="18" t="str">
        <f t="shared" si="0"/>
        <v>P006</v>
      </c>
      <c r="B9" s="1" t="s">
        <v>13</v>
      </c>
      <c r="C9" s="2" t="s">
        <v>67</v>
      </c>
      <c r="D9" s="1" t="s">
        <v>28</v>
      </c>
      <c r="E9" s="1" t="s">
        <v>32</v>
      </c>
      <c r="F9" s="3">
        <v>2500</v>
      </c>
      <c r="G9" s="11">
        <v>10</v>
      </c>
      <c r="H9" s="2">
        <v>34</v>
      </c>
      <c r="I9" s="12" t="str">
        <f>IF(Table1[[#This Row],[Current Stock]]&gt;10,"Available","Low Stock")</f>
        <v>Available</v>
      </c>
    </row>
    <row r="10" spans="1:9" x14ac:dyDescent="0.25">
      <c r="A10" s="18" t="str">
        <f t="shared" si="0"/>
        <v>P007</v>
      </c>
      <c r="B10" s="1" t="s">
        <v>14</v>
      </c>
      <c r="C10" s="2" t="s">
        <v>67</v>
      </c>
      <c r="D10" s="1" t="s">
        <v>28</v>
      </c>
      <c r="E10" s="1" t="s">
        <v>34</v>
      </c>
      <c r="F10" s="3">
        <v>4000</v>
      </c>
      <c r="G10" s="11">
        <v>10</v>
      </c>
      <c r="H10" s="2">
        <v>9</v>
      </c>
      <c r="I10" s="12" t="str">
        <f>IF(Table1[[#This Row],[Current Stock]]&gt;10,"Available","Low Stock")</f>
        <v>Low Stock</v>
      </c>
    </row>
    <row r="11" spans="1:9" x14ac:dyDescent="0.25">
      <c r="A11" s="18" t="str">
        <f t="shared" si="0"/>
        <v>P008</v>
      </c>
      <c r="B11" s="1" t="s">
        <v>15</v>
      </c>
      <c r="C11" s="2" t="s">
        <v>68</v>
      </c>
      <c r="D11" s="1" t="s">
        <v>29</v>
      </c>
      <c r="E11" s="1" t="s">
        <v>34</v>
      </c>
      <c r="F11" s="3">
        <v>5000</v>
      </c>
      <c r="G11" s="11">
        <v>5</v>
      </c>
      <c r="H11" s="2">
        <v>10</v>
      </c>
      <c r="I11" s="12" t="str">
        <f>IF(Table1[[#This Row],[Current Stock]]&gt;10,"Available","Low Stock")</f>
        <v>Low Stock</v>
      </c>
    </row>
    <row r="12" spans="1:9" x14ac:dyDescent="0.25">
      <c r="A12" s="18" t="str">
        <f t="shared" si="0"/>
        <v>P009</v>
      </c>
      <c r="B12" s="1" t="s">
        <v>16</v>
      </c>
      <c r="C12" s="2" t="s">
        <v>68</v>
      </c>
      <c r="D12" s="1" t="s">
        <v>29</v>
      </c>
      <c r="E12" s="1" t="s">
        <v>35</v>
      </c>
      <c r="F12" s="3">
        <v>5000</v>
      </c>
      <c r="G12" s="11">
        <v>5</v>
      </c>
      <c r="H12" s="2">
        <v>12</v>
      </c>
      <c r="I12" s="12" t="str">
        <f>IF(Table1[[#This Row],[Current Stock]]&gt;10,"Available","Low Stock")</f>
        <v>Available</v>
      </c>
    </row>
    <row r="13" spans="1:9" x14ac:dyDescent="0.25">
      <c r="A13" s="18" t="str">
        <f t="shared" si="0"/>
        <v>P010</v>
      </c>
      <c r="B13" s="1" t="s">
        <v>17</v>
      </c>
      <c r="C13" s="2" t="s">
        <v>68</v>
      </c>
      <c r="D13" s="1" t="s">
        <v>29</v>
      </c>
      <c r="E13" s="1" t="s">
        <v>35</v>
      </c>
      <c r="F13" s="3">
        <v>25000</v>
      </c>
      <c r="G13" s="11">
        <v>10</v>
      </c>
      <c r="H13" s="2">
        <v>25</v>
      </c>
      <c r="I13" s="12" t="str">
        <f>IF(Table1[[#This Row],[Current Stock]]&gt;10,"Available","Low Stock")</f>
        <v>Available</v>
      </c>
    </row>
    <row r="14" spans="1:9" x14ac:dyDescent="0.25">
      <c r="A14" s="18" t="str">
        <f t="shared" si="0"/>
        <v>P011</v>
      </c>
      <c r="B14" s="1" t="s">
        <v>18</v>
      </c>
      <c r="C14" s="2" t="s">
        <v>68</v>
      </c>
      <c r="D14" s="1" t="s">
        <v>29</v>
      </c>
      <c r="E14" s="1" t="s">
        <v>35</v>
      </c>
      <c r="F14" s="3">
        <v>6000</v>
      </c>
      <c r="G14" s="11">
        <v>8</v>
      </c>
      <c r="H14" s="2">
        <v>3</v>
      </c>
      <c r="I14" s="12" t="str">
        <f>IF(Table1[[#This Row],[Current Stock]]&gt;10,"Available","Low Stock")</f>
        <v>Low Stock</v>
      </c>
    </row>
    <row r="15" spans="1:9" x14ac:dyDescent="0.25">
      <c r="A15" s="18" t="str">
        <f t="shared" si="0"/>
        <v>P012</v>
      </c>
      <c r="B15" s="1" t="s">
        <v>19</v>
      </c>
      <c r="C15" s="2" t="s">
        <v>68</v>
      </c>
      <c r="D15" s="1" t="s">
        <v>30</v>
      </c>
      <c r="E15" s="1" t="s">
        <v>36</v>
      </c>
      <c r="F15" s="3">
        <v>55000</v>
      </c>
      <c r="G15" s="11">
        <v>5</v>
      </c>
      <c r="H15" s="2">
        <v>56</v>
      </c>
      <c r="I15" s="12" t="str">
        <f>IF(Table1[[#This Row],[Current Stock]]&gt;10,"Available","Low Stock")</f>
        <v>Available</v>
      </c>
    </row>
    <row r="16" spans="1:9" x14ac:dyDescent="0.25">
      <c r="A16" s="18" t="str">
        <f t="shared" si="0"/>
        <v>P013</v>
      </c>
      <c r="B16" s="1" t="s">
        <v>20</v>
      </c>
      <c r="C16" s="2" t="s">
        <v>68</v>
      </c>
      <c r="D16" s="1" t="s">
        <v>30</v>
      </c>
      <c r="E16" s="1" t="s">
        <v>36</v>
      </c>
      <c r="F16" s="3">
        <v>60000</v>
      </c>
      <c r="G16" s="11">
        <v>5</v>
      </c>
      <c r="H16" s="2">
        <v>32</v>
      </c>
      <c r="I16" s="12" t="str">
        <f>IF(Table1[[#This Row],[Current Stock]]&gt;10,"Available","Low Stock")</f>
        <v>Available</v>
      </c>
    </row>
    <row r="17" spans="1:9" x14ac:dyDescent="0.25">
      <c r="A17" s="18" t="str">
        <f t="shared" si="0"/>
        <v>P014</v>
      </c>
      <c r="B17" s="1" t="s">
        <v>21</v>
      </c>
      <c r="C17" s="2" t="s">
        <v>68</v>
      </c>
      <c r="D17" s="1" t="s">
        <v>29</v>
      </c>
      <c r="E17" s="1" t="s">
        <v>37</v>
      </c>
      <c r="F17" s="3">
        <v>8500</v>
      </c>
      <c r="G17" s="11">
        <v>5</v>
      </c>
      <c r="H17" s="2">
        <v>22</v>
      </c>
      <c r="I17" s="12" t="str">
        <f>IF(Table1[[#This Row],[Current Stock]]&gt;10,"Available","Low Stock")</f>
        <v>Available</v>
      </c>
    </row>
    <row r="18" spans="1:9" x14ac:dyDescent="0.25">
      <c r="A18" s="18" t="str">
        <f t="shared" si="0"/>
        <v>P015</v>
      </c>
      <c r="B18" s="1" t="s">
        <v>22</v>
      </c>
      <c r="C18" s="2" t="s">
        <v>69</v>
      </c>
      <c r="D18" s="1" t="s">
        <v>29</v>
      </c>
      <c r="E18" s="1" t="s">
        <v>37</v>
      </c>
      <c r="F18" s="3">
        <v>7000</v>
      </c>
      <c r="G18" s="11">
        <v>5</v>
      </c>
      <c r="H18" s="2">
        <v>21</v>
      </c>
      <c r="I18" s="12" t="str">
        <f>IF(Table1[[#This Row],[Current Stock]]&gt;10,"Available","Low Stock")</f>
        <v>Available</v>
      </c>
    </row>
    <row r="19" spans="1:9" x14ac:dyDescent="0.25">
      <c r="A19" s="18" t="str">
        <f t="shared" si="0"/>
        <v>P016</v>
      </c>
      <c r="B19" s="1" t="s">
        <v>23</v>
      </c>
      <c r="C19" s="2" t="s">
        <v>69</v>
      </c>
      <c r="D19" s="1" t="s">
        <v>29</v>
      </c>
      <c r="E19" s="1" t="s">
        <v>37</v>
      </c>
      <c r="F19" s="3">
        <v>9000</v>
      </c>
      <c r="G19" s="11">
        <v>10</v>
      </c>
      <c r="H19" s="2">
        <v>5</v>
      </c>
      <c r="I19" s="12" t="str">
        <f>IF(Table1[[#This Row],[Current Stock]]&gt;10,"Available","Low Stock")</f>
        <v>Low Stock</v>
      </c>
    </row>
    <row r="20" spans="1:9" x14ac:dyDescent="0.25">
      <c r="A20" s="18" t="str">
        <f t="shared" si="0"/>
        <v>P017</v>
      </c>
      <c r="B20" s="1" t="s">
        <v>24</v>
      </c>
      <c r="C20" s="2" t="s">
        <v>69</v>
      </c>
      <c r="D20" s="1" t="s">
        <v>31</v>
      </c>
      <c r="E20" s="1" t="s">
        <v>38</v>
      </c>
      <c r="F20" s="3">
        <v>8500</v>
      </c>
      <c r="G20" s="11">
        <v>5</v>
      </c>
      <c r="H20" s="2">
        <v>15</v>
      </c>
      <c r="I20" s="12" t="str">
        <f>IF(Table1[[#This Row],[Current Stock]]&gt;10,"Available","Low Stock")</f>
        <v>Available</v>
      </c>
    </row>
    <row r="21" spans="1:9" x14ac:dyDescent="0.25">
      <c r="A21" s="18" t="str">
        <f t="shared" si="0"/>
        <v>P018</v>
      </c>
      <c r="B21" s="1" t="s">
        <v>25</v>
      </c>
      <c r="C21" s="2" t="s">
        <v>69</v>
      </c>
      <c r="D21" s="1" t="s">
        <v>31</v>
      </c>
      <c r="E21" s="1" t="s">
        <v>38</v>
      </c>
      <c r="F21" s="3">
        <v>8500</v>
      </c>
      <c r="G21" s="11">
        <v>5</v>
      </c>
      <c r="H21" s="2">
        <v>4</v>
      </c>
      <c r="I21" s="12" t="str">
        <f>IF(Table1[[#This Row],[Current Stock]]&gt;10,"Available","Low Stock")</f>
        <v>Low Stock</v>
      </c>
    </row>
    <row r="22" spans="1:9" x14ac:dyDescent="0.25">
      <c r="A22" s="18" t="str">
        <f t="shared" si="0"/>
        <v>P019</v>
      </c>
      <c r="B22" s="1" t="s">
        <v>26</v>
      </c>
      <c r="C22" s="2" t="s">
        <v>69</v>
      </c>
      <c r="D22" s="1" t="s">
        <v>28</v>
      </c>
      <c r="E22" s="1" t="s">
        <v>32</v>
      </c>
      <c r="F22" s="3">
        <v>12000</v>
      </c>
      <c r="G22" s="11">
        <v>5</v>
      </c>
      <c r="H22" s="2">
        <v>23</v>
      </c>
      <c r="I22" s="12" t="str">
        <f>IF(Table1[[#This Row],[Current Stock]]&gt;10,"Available","Low Stock")</f>
        <v>Available</v>
      </c>
    </row>
    <row r="23" spans="1:9" x14ac:dyDescent="0.25">
      <c r="A23" s="18" t="str">
        <f t="shared" si="0"/>
        <v>P020</v>
      </c>
      <c r="B23" s="5" t="s">
        <v>27</v>
      </c>
      <c r="C23" s="2" t="s">
        <v>69</v>
      </c>
      <c r="D23" s="5" t="s">
        <v>29</v>
      </c>
      <c r="E23" s="5" t="s">
        <v>39</v>
      </c>
      <c r="F23" s="6">
        <v>15000</v>
      </c>
      <c r="G23" s="13">
        <v>5</v>
      </c>
      <c r="H23" s="14">
        <v>24</v>
      </c>
      <c r="I23" s="12" t="str">
        <f>IF(Table1[[#This Row],[Current Stock]]&gt;10,"Available","Low Stock")</f>
        <v>Available</v>
      </c>
    </row>
  </sheetData>
  <conditionalFormatting sqref="I1:I1048576">
    <cfRule type="containsText" dxfId="8" priority="1" operator="containsText" text="Available">
      <formula>NOT(ISERROR(SEARCH("Available",I1)))</formula>
    </cfRule>
    <cfRule type="containsText" dxfId="7" priority="2" operator="containsText" text="Low Stock">
      <formula>NOT(ISERROR(SEARCH("Low Stock",I1)))</formula>
    </cfRule>
  </conditionalFormatting>
  <conditionalFormatting sqref="I4:I23">
    <cfRule type="expression" dxfId="6" priority="3">
      <formula>$H$4&lt;=10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2150-6C29-44EA-B755-1F2902E9CA05}">
  <dimension ref="A1:L17"/>
  <sheetViews>
    <sheetView showGridLines="0" zoomScale="71" workbookViewId="0">
      <selection activeCell="L5" sqref="L5"/>
    </sheetView>
  </sheetViews>
  <sheetFormatPr defaultRowHeight="20.100000000000001" customHeight="1" x14ac:dyDescent="0.25"/>
  <cols>
    <col min="1" max="1" width="11.85546875" customWidth="1"/>
    <col min="2" max="2" width="12.42578125" bestFit="1" customWidth="1"/>
    <col min="3" max="4" width="18.28515625" bestFit="1" customWidth="1"/>
    <col min="5" max="5" width="11.7109375" bestFit="1" customWidth="1"/>
    <col min="6" max="6" width="13.7109375" bestFit="1" customWidth="1"/>
    <col min="7" max="7" width="15" customWidth="1"/>
    <col min="8" max="8" width="15.140625" customWidth="1"/>
    <col min="9" max="9" width="16" style="15" bestFit="1" customWidth="1"/>
    <col min="10" max="10" width="13.42578125" bestFit="1" customWidth="1"/>
    <col min="11" max="11" width="15.5703125" bestFit="1" customWidth="1"/>
    <col min="12" max="12" width="17" bestFit="1" customWidth="1"/>
  </cols>
  <sheetData>
    <row r="1" spans="1:12" ht="40.5" customHeight="1" x14ac:dyDescent="0.9">
      <c r="A1" s="32" t="s">
        <v>112</v>
      </c>
      <c r="B1" s="32"/>
      <c r="C1" s="32"/>
      <c r="D1" s="32"/>
      <c r="E1" s="32"/>
      <c r="F1" s="32"/>
      <c r="G1" s="32"/>
      <c r="H1" s="32"/>
      <c r="I1" s="32"/>
      <c r="J1" s="33"/>
      <c r="K1" s="33"/>
      <c r="L1" s="33"/>
    </row>
    <row r="2" spans="1:12" ht="31.5" customHeight="1" x14ac:dyDescent="0.25">
      <c r="A2" s="28" t="s">
        <v>54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31.5" customHeight="1" x14ac:dyDescent="0.25">
      <c r="A3" s="28" t="s">
        <v>114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ht="33" customHeight="1" x14ac:dyDescent="0.25">
      <c r="A4" s="20" t="s">
        <v>43</v>
      </c>
      <c r="B4" s="21" t="s">
        <v>44</v>
      </c>
      <c r="C4" s="21" t="s">
        <v>1</v>
      </c>
      <c r="D4" s="21" t="s">
        <v>45</v>
      </c>
      <c r="E4" s="21" t="s">
        <v>47</v>
      </c>
      <c r="F4" s="21" t="s">
        <v>48</v>
      </c>
      <c r="G4" s="21" t="s">
        <v>46</v>
      </c>
      <c r="H4" s="21" t="s">
        <v>49</v>
      </c>
      <c r="I4" s="21" t="s">
        <v>50</v>
      </c>
      <c r="J4" s="21" t="s">
        <v>51</v>
      </c>
      <c r="K4" s="21" t="s">
        <v>52</v>
      </c>
      <c r="L4" s="22" t="s">
        <v>53</v>
      </c>
    </row>
    <row r="5" spans="1:12" ht="20.100000000000001" customHeight="1" x14ac:dyDescent="0.25">
      <c r="A5" s="16">
        <v>45717</v>
      </c>
      <c r="B5" s="1" t="s">
        <v>5</v>
      </c>
      <c r="C5" s="1" t="str">
        <f>VLOOKUP(B5,Table1[#All],2,0)</f>
        <v>Pulpen Biru</v>
      </c>
      <c r="D5" s="1" t="s">
        <v>101</v>
      </c>
      <c r="E5" s="1" t="str">
        <f>VLOOKUP(B5,Table1[#All],4,0)</f>
        <v xml:space="preserve">Stationery </v>
      </c>
      <c r="F5" s="2">
        <v>50</v>
      </c>
      <c r="G5" s="3">
        <f>VLOOKUP(Table3[[#This Row],[Product ID]],Table1[#All],6,0)</f>
        <v>3000</v>
      </c>
      <c r="H5" s="3">
        <f>Table3[[#This Row],[Quantity]]*Table3[[#This Row],[Unit Price]]</f>
        <v>150000</v>
      </c>
      <c r="I5" s="2" t="str">
        <f>VLOOKUP(Table3[[#This Row],[Product ID]],Table1[#All],3,0)</f>
        <v>WH-A</v>
      </c>
      <c r="J5" s="1" t="s">
        <v>70</v>
      </c>
      <c r="K5" s="1" t="s">
        <v>71</v>
      </c>
      <c r="L5" s="4" t="s">
        <v>84</v>
      </c>
    </row>
    <row r="6" spans="1:12" ht="20.100000000000001" customHeight="1" x14ac:dyDescent="0.25">
      <c r="A6" s="16">
        <v>45718</v>
      </c>
      <c r="B6" s="1" t="s">
        <v>7</v>
      </c>
      <c r="C6" s="1" t="str">
        <f>VLOOKUP(B6,Table1[#All],2,0)</f>
        <v>Buku Tulis A5</v>
      </c>
      <c r="D6" s="1" t="s">
        <v>101</v>
      </c>
      <c r="E6" s="1" t="str">
        <f>VLOOKUP(B6,Table1[#All],4,0)</f>
        <v xml:space="preserve">Stationery </v>
      </c>
      <c r="F6" s="2">
        <v>30</v>
      </c>
      <c r="G6" s="3">
        <f>VLOOKUP(Table3[[#This Row],[Product ID]],Table1[#All],6,0)</f>
        <v>7000</v>
      </c>
      <c r="H6" s="3">
        <f>Table3[[#This Row],[Quantity]]*Table3[[#This Row],[Unit Price]]</f>
        <v>210000</v>
      </c>
      <c r="I6" s="2" t="str">
        <f>VLOOKUP(Table3[[#This Row],[Product ID]],Table1[#All],3,0)</f>
        <v>WH-A</v>
      </c>
      <c r="J6" s="1" t="s">
        <v>70</v>
      </c>
      <c r="K6" s="1" t="s">
        <v>74</v>
      </c>
      <c r="L6" s="4" t="s">
        <v>82</v>
      </c>
    </row>
    <row r="7" spans="1:12" ht="20.100000000000001" customHeight="1" x14ac:dyDescent="0.25">
      <c r="A7" s="16">
        <v>45719</v>
      </c>
      <c r="B7" s="1" t="s">
        <v>5</v>
      </c>
      <c r="C7" s="1" t="str">
        <f>VLOOKUP(B7,Table1[#All],2,0)</f>
        <v>Pulpen Biru</v>
      </c>
      <c r="D7" s="1" t="s">
        <v>64</v>
      </c>
      <c r="E7" s="1" t="str">
        <f>VLOOKUP(B7,Table1[#All],4,0)</f>
        <v xml:space="preserve">Stationery </v>
      </c>
      <c r="F7" s="2">
        <v>7</v>
      </c>
      <c r="G7" s="3">
        <f>VLOOKUP(Table3[[#This Row],[Product ID]],Table1[#All],6,0)</f>
        <v>3000</v>
      </c>
      <c r="H7" s="3">
        <f>Table3[[#This Row],[Quantity]]*Table3[[#This Row],[Unit Price]]</f>
        <v>21000</v>
      </c>
      <c r="I7" s="2" t="str">
        <f>VLOOKUP(Table3[[#This Row],[Product ID]],Table1[#All],3,0)</f>
        <v>WH-A</v>
      </c>
      <c r="J7" s="1" t="s">
        <v>78</v>
      </c>
      <c r="K7" s="1" t="s">
        <v>81</v>
      </c>
      <c r="L7" s="4" t="s">
        <v>83</v>
      </c>
    </row>
    <row r="8" spans="1:12" ht="20.100000000000001" customHeight="1" x14ac:dyDescent="0.25">
      <c r="A8" s="16">
        <v>45721</v>
      </c>
      <c r="B8" s="1" t="s">
        <v>55</v>
      </c>
      <c r="C8" s="1" t="str">
        <f>VLOOKUP(B8,Table1[#All],2,0)</f>
        <v xml:space="preserve">Penghapus Putih </v>
      </c>
      <c r="D8" s="1" t="s">
        <v>101</v>
      </c>
      <c r="E8" s="1" t="str">
        <f>VLOOKUP(B8,Table1[#All],4,0)</f>
        <v xml:space="preserve">Stationery </v>
      </c>
      <c r="F8" s="2">
        <v>20</v>
      </c>
      <c r="G8" s="3">
        <f>VLOOKUP(Table3[[#This Row],[Product ID]],Table1[#All],6,0)</f>
        <v>2000</v>
      </c>
      <c r="H8" s="3">
        <f>Table3[[#This Row],[Quantity]]*Table3[[#This Row],[Unit Price]]</f>
        <v>40000</v>
      </c>
      <c r="I8" s="2" t="str">
        <f>VLOOKUP(Table3[[#This Row],[Product ID]],Table1[#All],3,0)</f>
        <v>WH-A</v>
      </c>
      <c r="J8" s="1" t="s">
        <v>70</v>
      </c>
      <c r="K8" s="1" t="s">
        <v>72</v>
      </c>
      <c r="L8" s="4" t="s">
        <v>84</v>
      </c>
    </row>
    <row r="9" spans="1:12" ht="20.100000000000001" customHeight="1" x14ac:dyDescent="0.25">
      <c r="A9" s="16">
        <v>45722</v>
      </c>
      <c r="B9" s="1" t="s">
        <v>56</v>
      </c>
      <c r="C9" s="1" t="str">
        <f>VLOOKUP(B9,Table1[#All],2,0)</f>
        <v>Stapler Besar</v>
      </c>
      <c r="D9" s="1" t="s">
        <v>64</v>
      </c>
      <c r="E9" s="1" t="str">
        <f>VLOOKUP(B9,Table1[#All],4,0)</f>
        <v xml:space="preserve">Office </v>
      </c>
      <c r="F9" s="2">
        <v>15</v>
      </c>
      <c r="G9" s="3">
        <f>VLOOKUP(Table3[[#This Row],[Product ID]],Table1[#All],6,0)</f>
        <v>25000</v>
      </c>
      <c r="H9" s="3">
        <f>Table3[[#This Row],[Quantity]]*Table3[[#This Row],[Unit Price]]</f>
        <v>375000</v>
      </c>
      <c r="I9" s="2" t="str">
        <f>VLOOKUP(Table3[[#This Row],[Product ID]],Table1[#All],3,0)</f>
        <v>WH-B</v>
      </c>
      <c r="J9" s="1" t="s">
        <v>85</v>
      </c>
      <c r="K9" s="1" t="s">
        <v>86</v>
      </c>
      <c r="L9" s="4" t="s">
        <v>87</v>
      </c>
    </row>
    <row r="10" spans="1:12" ht="20.100000000000001" customHeight="1" x14ac:dyDescent="0.25">
      <c r="A10" s="16">
        <v>45723</v>
      </c>
      <c r="B10" s="1" t="s">
        <v>57</v>
      </c>
      <c r="C10" s="1" t="str">
        <f>VLOOKUP(B10,Table1[#All],2,0)</f>
        <v>Kertas HVS A4</v>
      </c>
      <c r="D10" s="1" t="s">
        <v>64</v>
      </c>
      <c r="E10" s="1" t="str">
        <f>VLOOKUP(B10,Table1[#All],4,0)</f>
        <v>Paper</v>
      </c>
      <c r="F10" s="2">
        <v>20</v>
      </c>
      <c r="G10" s="3">
        <f>VLOOKUP(Table3[[#This Row],[Product ID]],Table1[#All],6,0)</f>
        <v>55000</v>
      </c>
      <c r="H10" s="3">
        <f>Table3[[#This Row],[Quantity]]*Table3[[#This Row],[Unit Price]]</f>
        <v>1100000</v>
      </c>
      <c r="I10" s="2" t="str">
        <f>VLOOKUP(Table3[[#This Row],[Product ID]],Table1[#All],3,0)</f>
        <v>WH-B</v>
      </c>
      <c r="J10" s="1" t="s">
        <v>78</v>
      </c>
      <c r="K10" s="1" t="s">
        <v>88</v>
      </c>
      <c r="L10" s="4" t="s">
        <v>83</v>
      </c>
    </row>
    <row r="11" spans="1:12" ht="20.100000000000001" customHeight="1" x14ac:dyDescent="0.25">
      <c r="A11" s="16">
        <v>45724</v>
      </c>
      <c r="B11" s="1" t="s">
        <v>58</v>
      </c>
      <c r="C11" s="1" t="str">
        <f>VLOOKUP(B11,Table1[#All],2,0)</f>
        <v>Spidol Hitam</v>
      </c>
      <c r="D11" s="1" t="s">
        <v>101</v>
      </c>
      <c r="E11" s="1" t="str">
        <f>VLOOKUP(B11,Table1[#All],4,0)</f>
        <v>Marker</v>
      </c>
      <c r="F11" s="2">
        <v>15</v>
      </c>
      <c r="G11" s="3">
        <f>VLOOKUP(Table3[[#This Row],[Product ID]],Table1[#All],6,0)</f>
        <v>8500</v>
      </c>
      <c r="H11" s="3">
        <f>Table3[[#This Row],[Quantity]]*Table3[[#This Row],[Unit Price]]</f>
        <v>127500</v>
      </c>
      <c r="I11" s="2" t="str">
        <f>VLOOKUP(Table3[[#This Row],[Product ID]],Table1[#All],3,0)</f>
        <v>WH-C</v>
      </c>
      <c r="J11" s="1" t="s">
        <v>70</v>
      </c>
      <c r="K11" s="1" t="s">
        <v>75</v>
      </c>
      <c r="L11" s="4" t="s">
        <v>89</v>
      </c>
    </row>
    <row r="12" spans="1:12" ht="20.100000000000001" customHeight="1" x14ac:dyDescent="0.25">
      <c r="A12" s="16">
        <v>45725</v>
      </c>
      <c r="B12" s="1" t="s">
        <v>6</v>
      </c>
      <c r="C12" s="1" t="str">
        <f>VLOOKUP(B12,Table1[#All],2,0)</f>
        <v>Pulpen Hitam</v>
      </c>
      <c r="D12" s="1" t="s">
        <v>101</v>
      </c>
      <c r="E12" s="1" t="str">
        <f>VLOOKUP(B12,Table1[#All],4,0)</f>
        <v xml:space="preserve">Stationery </v>
      </c>
      <c r="F12" s="2">
        <v>15</v>
      </c>
      <c r="G12" s="3">
        <f>VLOOKUP(Table3[[#This Row],[Product ID]],Table1[#All],6,0)</f>
        <v>3000</v>
      </c>
      <c r="H12" s="3">
        <f>Table3[[#This Row],[Quantity]]*Table3[[#This Row],[Unit Price]]</f>
        <v>45000</v>
      </c>
      <c r="I12" s="2" t="str">
        <f>VLOOKUP(Table3[[#This Row],[Product ID]],Table1[#All],3,0)</f>
        <v>WH-A</v>
      </c>
      <c r="J12" s="1" t="s">
        <v>70</v>
      </c>
      <c r="K12" s="1" t="s">
        <v>73</v>
      </c>
      <c r="L12" s="4" t="s">
        <v>84</v>
      </c>
    </row>
    <row r="13" spans="1:12" ht="20.100000000000001" customHeight="1" x14ac:dyDescent="0.25">
      <c r="A13" s="16">
        <v>45726</v>
      </c>
      <c r="B13" s="1" t="s">
        <v>59</v>
      </c>
      <c r="C13" s="1" t="str">
        <f>VLOOKUP(B13,Table1[#All],2,0)</f>
        <v>Buku Tulis A4</v>
      </c>
      <c r="D13" s="1" t="s">
        <v>101</v>
      </c>
      <c r="E13" s="1" t="str">
        <f>VLOOKUP(B13,Table1[#All],4,0)</f>
        <v xml:space="preserve">Stationery </v>
      </c>
      <c r="F13" s="2">
        <v>25</v>
      </c>
      <c r="G13" s="3">
        <f>VLOOKUP(Table3[[#This Row],[Product ID]],Table1[#All],6,0)</f>
        <v>12000</v>
      </c>
      <c r="H13" s="3">
        <f>Table3[[#This Row],[Quantity]]*Table3[[#This Row],[Unit Price]]</f>
        <v>300000</v>
      </c>
      <c r="I13" s="2" t="str">
        <f>VLOOKUP(Table3[[#This Row],[Product ID]],Table1[#All],3,0)</f>
        <v>WH-A</v>
      </c>
      <c r="J13" s="1" t="s">
        <v>70</v>
      </c>
      <c r="K13" s="1" t="s">
        <v>76</v>
      </c>
      <c r="L13" s="4" t="s">
        <v>82</v>
      </c>
    </row>
    <row r="14" spans="1:12" ht="20.100000000000001" customHeight="1" x14ac:dyDescent="0.25">
      <c r="A14" s="16">
        <v>45727</v>
      </c>
      <c r="B14" s="1" t="s">
        <v>60</v>
      </c>
      <c r="C14" s="1" t="str">
        <f>VLOOKUP(B14,Table1[#All],2,0)</f>
        <v>Pensil HB</v>
      </c>
      <c r="D14" s="1" t="s">
        <v>66</v>
      </c>
      <c r="E14" s="1" t="str">
        <f>VLOOKUP(B14,Table1[#All],4,0)</f>
        <v xml:space="preserve">Stationery </v>
      </c>
      <c r="F14" s="2">
        <v>15</v>
      </c>
      <c r="G14" s="3">
        <f>VLOOKUP(Table3[[#This Row],[Product ID]],Table1[#All],6,0)</f>
        <v>2500</v>
      </c>
      <c r="H14" s="3">
        <f>Table3[[#This Row],[Quantity]]*Table3[[#This Row],[Unit Price]]</f>
        <v>37500</v>
      </c>
      <c r="I14" s="2" t="str">
        <f>VLOOKUP(Table3[[#This Row],[Product ID]],Table1[#All],3,0)</f>
        <v>WH-A</v>
      </c>
      <c r="J14" s="1" t="s">
        <v>78</v>
      </c>
      <c r="K14" s="1" t="s">
        <v>90</v>
      </c>
      <c r="L14" s="4" t="s">
        <v>83</v>
      </c>
    </row>
    <row r="15" spans="1:12" ht="20.100000000000001" customHeight="1" x14ac:dyDescent="0.25">
      <c r="A15" s="16">
        <v>45729</v>
      </c>
      <c r="B15" s="1" t="s">
        <v>61</v>
      </c>
      <c r="C15" s="1" t="str">
        <f>VLOOKUP(B15,Table1[#All],2,0)</f>
        <v>Map Folder Merah</v>
      </c>
      <c r="D15" s="1" t="s">
        <v>101</v>
      </c>
      <c r="E15" s="1" t="str">
        <f>VLOOKUP(B15,Table1[#All],4,0)</f>
        <v xml:space="preserve">Office </v>
      </c>
      <c r="F15" s="2">
        <v>20</v>
      </c>
      <c r="G15" s="3">
        <f>VLOOKUP(Table3[[#This Row],[Product ID]],Table1[#All],6,0)</f>
        <v>5000</v>
      </c>
      <c r="H15" s="3">
        <f>Table3[[#This Row],[Quantity]]*Table3[[#This Row],[Unit Price]]</f>
        <v>100000</v>
      </c>
      <c r="I15" s="2" t="str">
        <f>VLOOKUP(Table3[[#This Row],[Product ID]],Table1[#All],3,0)</f>
        <v>WH-B</v>
      </c>
      <c r="J15" s="1" t="s">
        <v>70</v>
      </c>
      <c r="K15" s="1" t="s">
        <v>79</v>
      </c>
      <c r="L15" s="4" t="s">
        <v>84</v>
      </c>
    </row>
    <row r="16" spans="1:12" ht="20.100000000000001" customHeight="1" x14ac:dyDescent="0.25">
      <c r="A16" s="16">
        <v>45730</v>
      </c>
      <c r="B16" s="1" t="s">
        <v>62</v>
      </c>
      <c r="C16" s="1" t="str">
        <f>VLOOKUP(B16,Table1[#All],2,0)</f>
        <v>Isi Staples</v>
      </c>
      <c r="D16" s="1" t="s">
        <v>101</v>
      </c>
      <c r="E16" s="1" t="str">
        <f>VLOOKUP(B16,Table1[#All],4,0)</f>
        <v xml:space="preserve">Office </v>
      </c>
      <c r="F16" s="2">
        <v>20</v>
      </c>
      <c r="G16" s="3">
        <f>VLOOKUP(Table3[[#This Row],[Product ID]],Table1[#All],6,0)</f>
        <v>6000</v>
      </c>
      <c r="H16" s="3">
        <f>Table3[[#This Row],[Quantity]]*Table3[[#This Row],[Unit Price]]</f>
        <v>120000</v>
      </c>
      <c r="I16" s="2" t="str">
        <f>VLOOKUP(Table3[[#This Row],[Product ID]],Table1[#All],3,0)</f>
        <v>WH-B</v>
      </c>
      <c r="J16" s="1" t="s">
        <v>70</v>
      </c>
      <c r="K16" s="1" t="s">
        <v>77</v>
      </c>
      <c r="L16" s="4" t="s">
        <v>82</v>
      </c>
    </row>
    <row r="17" spans="1:12" ht="20.100000000000001" customHeight="1" x14ac:dyDescent="0.25">
      <c r="A17" s="17">
        <v>45731</v>
      </c>
      <c r="B17" s="5" t="s">
        <v>63</v>
      </c>
      <c r="C17" s="5" t="str">
        <f>VLOOKUP(B17,Table1[#All],2,0)</f>
        <v xml:space="preserve">Spidol Merah </v>
      </c>
      <c r="D17" s="1" t="s">
        <v>101</v>
      </c>
      <c r="E17" s="5" t="str">
        <f>VLOOKUP(B17,Table1[#All],4,0)</f>
        <v>Marker</v>
      </c>
      <c r="F17" s="14">
        <v>20</v>
      </c>
      <c r="G17" s="6">
        <f>VLOOKUP(Table3[[#This Row],[Product ID]],Table1[#All],6,0)</f>
        <v>8500</v>
      </c>
      <c r="H17" s="6">
        <f>Table3[[#This Row],[Quantity]]*Table3[[#This Row],[Unit Price]]</f>
        <v>170000</v>
      </c>
      <c r="I17" s="14" t="str">
        <f>VLOOKUP(Table3[[#This Row],[Product ID]],Table1[#All],3,0)</f>
        <v>WH-C</v>
      </c>
      <c r="J17" s="5" t="s">
        <v>70</v>
      </c>
      <c r="K17" s="5" t="s">
        <v>80</v>
      </c>
      <c r="L17" s="7" t="s">
        <v>84</v>
      </c>
    </row>
  </sheetData>
  <phoneticPr fontId="3" type="noConversion"/>
  <conditionalFormatting sqref="I1">
    <cfRule type="containsText" dxfId="5" priority="1" operator="containsText" text="Available">
      <formula>NOT(ISERROR(SEARCH("Available",I1)))</formula>
    </cfRule>
    <cfRule type="containsText" dxfId="4" priority="2" operator="containsText" text="Low Stock">
      <formula>NOT(ISERROR(SEARCH("Low Stock",I1)))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FB9B-18E8-4041-90F6-B5A4778D4763}">
  <dimension ref="A1:R25"/>
  <sheetViews>
    <sheetView showGridLines="0" zoomScale="71" zoomScaleNormal="72" workbookViewId="0">
      <selection activeCell="A30" sqref="A30"/>
    </sheetView>
  </sheetViews>
  <sheetFormatPr defaultRowHeight="15" x14ac:dyDescent="0.25"/>
  <cols>
    <col min="1" max="1" width="12.28515625" customWidth="1"/>
    <col min="2" max="2" width="17.42578125" bestFit="1" customWidth="1"/>
    <col min="3" max="3" width="13.85546875" bestFit="1" customWidth="1"/>
    <col min="4" max="4" width="12.85546875" bestFit="1" customWidth="1"/>
    <col min="5" max="5" width="11.5703125" customWidth="1"/>
    <col min="6" max="7" width="15.42578125" customWidth="1"/>
    <col min="8" max="8" width="17.7109375" customWidth="1"/>
    <col min="9" max="9" width="16.7109375" customWidth="1"/>
    <col min="11" max="11" width="13.7109375" customWidth="1"/>
    <col min="12" max="12" width="14.140625" customWidth="1"/>
    <col min="17" max="17" width="14" customWidth="1"/>
    <col min="18" max="18" width="14.5703125" customWidth="1"/>
  </cols>
  <sheetData>
    <row r="1" spans="1:18" ht="31.5" x14ac:dyDescent="0.9">
      <c r="A1" s="42" t="s">
        <v>112</v>
      </c>
      <c r="B1" s="42"/>
      <c r="C1" s="42"/>
      <c r="D1" s="42"/>
      <c r="E1" s="42"/>
      <c r="F1" s="42"/>
      <c r="G1" s="42"/>
      <c r="H1" s="42"/>
      <c r="I1" s="42"/>
      <c r="J1" s="34"/>
      <c r="K1" s="34"/>
      <c r="L1" s="34"/>
      <c r="M1" s="35"/>
    </row>
    <row r="2" spans="1:18" x14ac:dyDescent="0.25">
      <c r="A2" s="41" t="s">
        <v>91</v>
      </c>
      <c r="B2" s="41"/>
      <c r="C2" s="41"/>
      <c r="D2" s="41"/>
      <c r="E2" s="41"/>
      <c r="F2" s="41"/>
      <c r="G2" s="41"/>
      <c r="H2" s="41"/>
      <c r="I2" s="41"/>
    </row>
    <row r="3" spans="1:18" x14ac:dyDescent="0.25">
      <c r="A3" s="41"/>
      <c r="B3" s="41"/>
      <c r="C3" s="41"/>
      <c r="D3" s="41"/>
      <c r="E3" s="41"/>
      <c r="F3" s="41"/>
      <c r="G3" s="41"/>
      <c r="H3" s="41"/>
      <c r="I3" s="41"/>
    </row>
    <row r="4" spans="1:18" ht="21" x14ac:dyDescent="0.35">
      <c r="A4" s="40" t="s">
        <v>113</v>
      </c>
      <c r="B4" s="39"/>
      <c r="C4" s="39"/>
      <c r="D4" s="39"/>
      <c r="E4" s="39"/>
      <c r="F4" s="39"/>
      <c r="G4" s="39"/>
      <c r="H4" s="39"/>
      <c r="I4" s="39"/>
    </row>
    <row r="5" spans="1:18" x14ac:dyDescent="0.25">
      <c r="A5" s="29" t="s">
        <v>44</v>
      </c>
      <c r="B5" s="30" t="s">
        <v>1</v>
      </c>
      <c r="C5" s="30" t="s">
        <v>47</v>
      </c>
      <c r="D5" s="30" t="s">
        <v>65</v>
      </c>
      <c r="E5" s="30" t="s">
        <v>64</v>
      </c>
      <c r="F5" s="30" t="s">
        <v>92</v>
      </c>
      <c r="G5" s="31" t="s">
        <v>46</v>
      </c>
      <c r="H5" s="31" t="s">
        <v>102</v>
      </c>
      <c r="I5" s="31" t="s">
        <v>42</v>
      </c>
      <c r="K5" s="1" t="s">
        <v>2</v>
      </c>
      <c r="L5" t="s">
        <v>104</v>
      </c>
      <c r="Q5" t="s">
        <v>42</v>
      </c>
      <c r="R5" t="s">
        <v>105</v>
      </c>
    </row>
    <row r="6" spans="1:18" x14ac:dyDescent="0.25">
      <c r="A6" s="18" t="s">
        <v>5</v>
      </c>
      <c r="B6" s="23" t="s">
        <v>8</v>
      </c>
      <c r="C6" s="23" t="s">
        <v>28</v>
      </c>
      <c r="D6" s="2">
        <f>SUMIFS(Table3[Quantity],Table3[Product ID],Table2[[#This Row],[Product ID]],Table3[Transaction Type],"Stock In")</f>
        <v>50</v>
      </c>
      <c r="E6" s="2">
        <f>SUMIFS(Table3[Quantity],Table3[Product ID],Table2[[#This Row],[Product ID]],Table3[Transaction Type],"Stock Out")</f>
        <v>7</v>
      </c>
      <c r="F6" s="2">
        <f>VLOOKUP(Table2[[#This Row],[Product ID]],Table1[#All],8,0)+Table2[[#This Row],[Stock In ]]-Table2[[#This Row],[Stock Out]]</f>
        <v>68</v>
      </c>
      <c r="G6" s="25">
        <f>VLOOKUP(Table2[[#This Row],[Product ID]],Table1[#All],6,0)</f>
        <v>3000</v>
      </c>
      <c r="H6" s="26">
        <f>Table2[[#This Row],[Current Stock ]]*Table2[[#This Row],[Unit Price]]</f>
        <v>204000</v>
      </c>
      <c r="I6" s="11" t="str">
        <f>IF(Table2[[#This Row],[Current Stock ]]&gt;=Product_Master!G4,"Available",IF(Table2[[#This Row],[Current Stock ]]&lt;=Product_Master!G4,"Low Stock"," Out of Stock"))</f>
        <v>Available</v>
      </c>
      <c r="K6" s="23" t="s">
        <v>28</v>
      </c>
      <c r="L6">
        <f>SUMIF(Table2[[Category ]],Table4[[#This Row],[Category]],Table2[[Current Stock ]])</f>
        <v>276</v>
      </c>
      <c r="Q6" s="1" t="s">
        <v>103</v>
      </c>
      <c r="R6" s="1">
        <f>COUNTIF(Table2[[Status ]],I11)</f>
        <v>18</v>
      </c>
    </row>
    <row r="7" spans="1:18" x14ac:dyDescent="0.25">
      <c r="A7" s="18" t="s">
        <v>6</v>
      </c>
      <c r="B7" s="23" t="s">
        <v>9</v>
      </c>
      <c r="C7" s="23" t="s">
        <v>28</v>
      </c>
      <c r="D7" s="2">
        <f>SUMIFS(Table3[Quantity],Table3[Product ID],Table2[[#This Row],[Product ID]],Table3[Transaction Type],"Stock In")</f>
        <v>15</v>
      </c>
      <c r="E7" s="2">
        <f>SUMIFS(Table3[Quantity],Table3[Product ID],Table2[[#This Row],[Product ID]],Table3[Transaction Type],"Stock Out")</f>
        <v>0</v>
      </c>
      <c r="F7" s="2">
        <f>VLOOKUP(Table2[[#This Row],[Product ID]],Table1[#All],8,0)+Table2[[#This Row],[Stock In ]]-Table2[[#This Row],[Stock Out]]</f>
        <v>33</v>
      </c>
      <c r="G7" s="26">
        <f>VLOOKUP(Table2[[#This Row],[Product ID]],Table1[#All],6,0)</f>
        <v>3000</v>
      </c>
      <c r="H7" s="26">
        <f>Table2[[#This Row],[Current Stock ]]*Table2[[#This Row],[Unit Price]]</f>
        <v>99000</v>
      </c>
      <c r="I7" s="11" t="str">
        <f>IF(Table2[[#This Row],[Current Stock ]]&gt;=Product_Master!G5,"Available",IF(Table2[[#This Row],[Current Stock ]]&lt;=Product_Master!G5,"Low Stock"," Out of Stock"))</f>
        <v>Available</v>
      </c>
      <c r="K7" s="23" t="s">
        <v>29</v>
      </c>
      <c r="L7">
        <f>SUMIF(Table2[[Category ]],Table4[[#This Row],[Category]],Table2[[Current Stock ]])</f>
        <v>147</v>
      </c>
      <c r="Q7" s="1" t="s">
        <v>106</v>
      </c>
      <c r="R7" s="1">
        <f>COUNTIF(Table2[[Status ]],I12)</f>
        <v>2</v>
      </c>
    </row>
    <row r="8" spans="1:18" x14ac:dyDescent="0.25">
      <c r="A8" s="18" t="s">
        <v>7</v>
      </c>
      <c r="B8" s="23" t="s">
        <v>10</v>
      </c>
      <c r="C8" s="23" t="s">
        <v>28</v>
      </c>
      <c r="D8" s="2">
        <f>SUMIFS(Table3[Quantity],Table3[Product ID],Table2[[#This Row],[Product ID]],Table3[Transaction Type],"Stock In")</f>
        <v>30</v>
      </c>
      <c r="E8" s="2">
        <f>SUMIFS(Table3[Quantity],Table3[Product ID],Table2[[#This Row],[Product ID]],Table3[Transaction Type],"Stock Out")</f>
        <v>0</v>
      </c>
      <c r="F8" s="2">
        <f>VLOOKUP(Table2[[#This Row],[Product ID]],Table1[#All],8,0)+Table2[[#This Row],[Stock In ]]-Table2[[#This Row],[Stock Out]]</f>
        <v>70</v>
      </c>
      <c r="G8" s="26">
        <f>VLOOKUP(Table2[[#This Row],[Product ID]],Table1[#All],6,0)</f>
        <v>7000</v>
      </c>
      <c r="H8" s="26">
        <f>Table2[[#This Row],[Current Stock ]]*Table2[[#This Row],[Unit Price]]</f>
        <v>490000</v>
      </c>
      <c r="I8" s="11" t="str">
        <f>IF(Table2[[#This Row],[Current Stock ]]&gt;=Product_Master!G6,"Available",IF(Table2[[#This Row],[Current Stock ]]&lt;=Product_Master!G6,"Low Stock"," Out of Stock"))</f>
        <v>Available</v>
      </c>
      <c r="K8" s="1" t="s">
        <v>30</v>
      </c>
      <c r="L8">
        <f>SUMIF(Table2[[Category ]],Table4[[#This Row],[Category]],Table2[[Current Stock ]])</f>
        <v>68</v>
      </c>
      <c r="Q8" s="5"/>
      <c r="R8" s="5">
        <f>SUBTOTAL(109,Table6[Jumlah Produk])</f>
        <v>20</v>
      </c>
    </row>
    <row r="9" spans="1:18" x14ac:dyDescent="0.25">
      <c r="A9" s="18" t="s">
        <v>59</v>
      </c>
      <c r="B9" s="23" t="s">
        <v>11</v>
      </c>
      <c r="C9" s="23" t="s">
        <v>28</v>
      </c>
      <c r="D9" s="2">
        <f>SUMIFS(Table3[Quantity],Table3[Product ID],Table2[[#This Row],[Product ID]],Table3[Transaction Type],"Stock In")</f>
        <v>25</v>
      </c>
      <c r="E9" s="2">
        <f>SUMIFS(Table3[Quantity],Table3[Product ID],Table2[[#This Row],[Product ID]],Table3[Transaction Type],"Stock Out")</f>
        <v>0</v>
      </c>
      <c r="F9" s="2">
        <f>VLOOKUP(Table2[[#This Row],[Product ID]],Table1[#All],8,0)+Table2[[#This Row],[Stock In ]]-Table2[[#This Row],[Stock Out]]</f>
        <v>31</v>
      </c>
      <c r="G9" s="26">
        <f>VLOOKUP(Table2[[#This Row],[Product ID]],Table1[#All],6,0)</f>
        <v>12000</v>
      </c>
      <c r="H9" s="26">
        <f>Table2[[#This Row],[Current Stock ]]*Table2[[#This Row],[Unit Price]]</f>
        <v>372000</v>
      </c>
      <c r="I9" s="11" t="str">
        <f>IF(Table2[[#This Row],[Current Stock ]]&gt;=Product_Master!G7,"Available",IF(Table2[[#This Row],[Current Stock ]]&lt;=Product_Master!G7,"Low Stock"," Out of Stock"))</f>
        <v>Available</v>
      </c>
      <c r="K9" s="23" t="s">
        <v>31</v>
      </c>
      <c r="L9">
        <f>SUMIF(Table2[[Category ]],Table4[[#This Row],[Category]],Table2[[Current Stock ]])</f>
        <v>54</v>
      </c>
    </row>
    <row r="10" spans="1:18" x14ac:dyDescent="0.25">
      <c r="A10" s="18" t="s">
        <v>55</v>
      </c>
      <c r="B10" s="23" t="s">
        <v>12</v>
      </c>
      <c r="C10" s="23" t="s">
        <v>28</v>
      </c>
      <c r="D10" s="2">
        <f>SUMIFS(Table3[Quantity],Table3[Product ID],Table2[[#This Row],[Product ID]],Table3[Transaction Type],"Stock In")</f>
        <v>20</v>
      </c>
      <c r="E10" s="2">
        <f>SUMIFS(Table3[Quantity],Table3[Product ID],Table2[[#This Row],[Product ID]],Table3[Transaction Type],"Stock Out")</f>
        <v>0</v>
      </c>
      <c r="F10" s="2">
        <f>VLOOKUP(Table2[[#This Row],[Product ID]],Table1[#All],8,0)+Table2[[#This Row],[Stock In ]]-Table2[[#This Row],[Stock Out]]</f>
        <v>23</v>
      </c>
      <c r="G10" s="26">
        <f>VLOOKUP(Table2[[#This Row],[Product ID]],Table1[#All],6,0)</f>
        <v>2000</v>
      </c>
      <c r="H10" s="26">
        <f>Table2[[#This Row],[Current Stock ]]*Table2[[#This Row],[Unit Price]]</f>
        <v>46000</v>
      </c>
      <c r="I10" s="11" t="str">
        <f>IF(Table2[[#This Row],[Current Stock ]]&gt;=Product_Master!G8,"Available",IF(Table2[[#This Row],[Current Stock ]]&lt;=Product_Master!G8,"Low Stock"," Out of Stock"))</f>
        <v>Available</v>
      </c>
    </row>
    <row r="11" spans="1:18" x14ac:dyDescent="0.25">
      <c r="A11" s="18" t="s">
        <v>60</v>
      </c>
      <c r="B11" s="23" t="s">
        <v>13</v>
      </c>
      <c r="C11" s="23" t="s">
        <v>28</v>
      </c>
      <c r="D11" s="2">
        <f>SUMIFS(Table3[Quantity],Table3[Product ID],Table2[[#This Row],[Product ID]],Table3[Transaction Type],"Stock In")</f>
        <v>0</v>
      </c>
      <c r="E11" s="2">
        <f>SUMIFS(Table3[Quantity],Table3[Product ID],Table2[[#This Row],[Product ID]],Table3[Transaction Type],"Stock Out")</f>
        <v>15</v>
      </c>
      <c r="F11" s="2">
        <f>VLOOKUP(Table2[[#This Row],[Product ID]],Table1[#All],8,0)+Table2[[#This Row],[Stock In ]]-Table2[[#This Row],[Stock Out]]</f>
        <v>19</v>
      </c>
      <c r="G11" s="26">
        <f>VLOOKUP(Table2[[#This Row],[Product ID]],Table1[#All],6,0)</f>
        <v>2500</v>
      </c>
      <c r="H11" s="26">
        <f>Table2[[#This Row],[Current Stock ]]*Table2[[#This Row],[Unit Price]]</f>
        <v>47500</v>
      </c>
      <c r="I11" s="11" t="str">
        <f>IF(Table2[[#This Row],[Current Stock ]]&gt;=Product_Master!G9,"Available",IF(Table2[[#This Row],[Current Stock ]]&lt;=Product_Master!G9,"Low Stock"," Out of Stock"))</f>
        <v>Available</v>
      </c>
    </row>
    <row r="12" spans="1:18" x14ac:dyDescent="0.25">
      <c r="A12" s="18" t="s">
        <v>93</v>
      </c>
      <c r="B12" s="23" t="s">
        <v>14</v>
      </c>
      <c r="C12" s="23" t="s">
        <v>28</v>
      </c>
      <c r="D12" s="2">
        <f>SUMIFS(Table3[Quantity],Table3[Product ID],Table2[[#This Row],[Product ID]],Table3[Transaction Type],"Stock In")</f>
        <v>0</v>
      </c>
      <c r="E12" s="2">
        <f>SUMIFS(Table3[Quantity],Table3[Product ID],Table2[[#This Row],[Product ID]],Table3[Transaction Type],"Stock Out")</f>
        <v>0</v>
      </c>
      <c r="F12" s="2">
        <f>VLOOKUP(Table2[[#This Row],[Product ID]],Table1[#All],8,0)+Table2[[#This Row],[Stock In ]]-Table2[[#This Row],[Stock Out]]</f>
        <v>9</v>
      </c>
      <c r="G12" s="26">
        <f>VLOOKUP(Table2[[#This Row],[Product ID]],Table1[#All],6,0)</f>
        <v>4000</v>
      </c>
      <c r="H12" s="26">
        <f>Table2[[#This Row],[Current Stock ]]*Table2[[#This Row],[Unit Price]]</f>
        <v>36000</v>
      </c>
      <c r="I12" s="11" t="str">
        <f>IF(Table2[[#This Row],[Current Stock ]]&gt;=Product_Master!G10,"Available",IF(Table2[[#This Row],[Current Stock ]]&lt;=Product_Master!G10,"Low Stock"," Out of Stock"))</f>
        <v>Low Stock</v>
      </c>
    </row>
    <row r="13" spans="1:18" x14ac:dyDescent="0.25">
      <c r="A13" s="18" t="s">
        <v>61</v>
      </c>
      <c r="B13" s="23" t="s">
        <v>15</v>
      </c>
      <c r="C13" s="23" t="s">
        <v>29</v>
      </c>
      <c r="D13" s="2">
        <f>SUMIFS(Table3[Quantity],Table3[Product ID],Table2[[#This Row],[Product ID]],Table3[Transaction Type],"Stock In")</f>
        <v>20</v>
      </c>
      <c r="E13" s="2">
        <f>SUMIFS(Table3[Quantity],Table3[Product ID],Table2[[#This Row],[Product ID]],Table3[Transaction Type],"Stock Out")</f>
        <v>0</v>
      </c>
      <c r="F13" s="2">
        <f>VLOOKUP(Table2[[#This Row],[Product ID]],Table1[#All],8,0)+Table2[[#This Row],[Stock In ]]-Table2[[#This Row],[Stock Out]]</f>
        <v>30</v>
      </c>
      <c r="G13" s="26">
        <f>VLOOKUP(Table2[[#This Row],[Product ID]],Table1[#All],6,0)</f>
        <v>5000</v>
      </c>
      <c r="H13" s="26">
        <f>Table2[[#This Row],[Current Stock ]]*Table2[[#This Row],[Unit Price]]</f>
        <v>150000</v>
      </c>
      <c r="I13" s="11" t="str">
        <f>IF(Table2[[#This Row],[Current Stock ]]&gt;=Product_Master!G11,"Available",IF(Table2[[#This Row],[Current Stock ]]&lt;=Product_Master!G11,"Low Stock"," Out of Stock"))</f>
        <v>Available</v>
      </c>
    </row>
    <row r="14" spans="1:18" x14ac:dyDescent="0.25">
      <c r="A14" s="18" t="s">
        <v>94</v>
      </c>
      <c r="B14" s="23" t="s">
        <v>16</v>
      </c>
      <c r="C14" s="23" t="s">
        <v>29</v>
      </c>
      <c r="D14" s="2">
        <f>SUMIFS(Table3[Quantity],Table3[Product ID],Table2[[#This Row],[Product ID]],Table3[Transaction Type],"Stock In")</f>
        <v>0</v>
      </c>
      <c r="E14" s="2">
        <f>SUMIFS(Table3[Quantity],Table3[Product ID],Table2[[#This Row],[Product ID]],Table3[Transaction Type],"Stock Out")</f>
        <v>0</v>
      </c>
      <c r="F14" s="2">
        <f>VLOOKUP(Table2[[#This Row],[Product ID]],Table1[#All],8,0)+Table2[[#This Row],[Stock In ]]-Table2[[#This Row],[Stock Out]]</f>
        <v>12</v>
      </c>
      <c r="G14" s="26">
        <f>VLOOKUP(Table2[[#This Row],[Product ID]],Table1[#All],6,0)</f>
        <v>5000</v>
      </c>
      <c r="H14" s="26">
        <f>Table2[[#This Row],[Current Stock ]]*Table2[[#This Row],[Unit Price]]</f>
        <v>60000</v>
      </c>
      <c r="I14" s="11" t="str">
        <f>IF(Table2[[#This Row],[Current Stock ]]&gt;=Product_Master!G12,"Available",IF(Table2[[#This Row],[Current Stock ]]&lt;=Product_Master!G12,"Low Stock"," Out of Stock"))</f>
        <v>Available</v>
      </c>
    </row>
    <row r="15" spans="1:18" x14ac:dyDescent="0.25">
      <c r="A15" s="18" t="s">
        <v>56</v>
      </c>
      <c r="B15" s="23" t="s">
        <v>17</v>
      </c>
      <c r="C15" s="23" t="s">
        <v>29</v>
      </c>
      <c r="D15" s="2">
        <f>SUMIFS(Table3[Quantity],Table3[Product ID],Table2[[#This Row],[Product ID]],Table3[Transaction Type],"Stock In")</f>
        <v>0</v>
      </c>
      <c r="E15" s="2">
        <f>SUMIFS(Table3[Quantity],Table3[Product ID],Table2[[#This Row],[Product ID]],Table3[Transaction Type],"Stock Out")</f>
        <v>15</v>
      </c>
      <c r="F15" s="2">
        <f>VLOOKUP(Table2[[#This Row],[Product ID]],Table1[#All],8,0)+Table2[[#This Row],[Stock In ]]-Table2[[#This Row],[Stock Out]]</f>
        <v>10</v>
      </c>
      <c r="G15" s="26">
        <f>VLOOKUP(Table2[[#This Row],[Product ID]],Table1[#All],6,0)</f>
        <v>25000</v>
      </c>
      <c r="H15" s="26">
        <f>Table2[[#This Row],[Current Stock ]]*Table2[[#This Row],[Unit Price]]</f>
        <v>250000</v>
      </c>
      <c r="I15" s="11" t="str">
        <f>IF(Table2[[#This Row],[Current Stock ]]&gt;=Product_Master!G13,"Available",IF(Table2[[#This Row],[Current Stock ]]&lt;=Product_Master!G13,"Low Stock"," Out of Stock"))</f>
        <v>Available</v>
      </c>
    </row>
    <row r="16" spans="1:18" x14ac:dyDescent="0.25">
      <c r="A16" s="18" t="s">
        <v>62</v>
      </c>
      <c r="B16" s="23" t="s">
        <v>18</v>
      </c>
      <c r="C16" s="23" t="s">
        <v>29</v>
      </c>
      <c r="D16" s="2">
        <f>SUMIFS(Table3[Quantity],Table3[Product ID],Table2[[#This Row],[Product ID]],Table3[Transaction Type],"Stock In")</f>
        <v>20</v>
      </c>
      <c r="E16" s="2">
        <f>SUMIFS(Table3[Quantity],Table3[Product ID],Table2[[#This Row],[Product ID]],Table3[Transaction Type],"Stock Out")</f>
        <v>0</v>
      </c>
      <c r="F16" s="2">
        <f>VLOOKUP(Table2[[#This Row],[Product ID]],Table1[#All],8,0)+Table2[[#This Row],[Stock In ]]-Table2[[#This Row],[Stock Out]]</f>
        <v>23</v>
      </c>
      <c r="G16" s="26">
        <f>VLOOKUP(Table2[[#This Row],[Product ID]],Table1[#All],6,0)</f>
        <v>6000</v>
      </c>
      <c r="H16" s="26">
        <f>Table2[[#This Row],[Current Stock ]]*Table2[[#This Row],[Unit Price]]</f>
        <v>138000</v>
      </c>
      <c r="I16" s="11" t="str">
        <f>IF(Table2[[#This Row],[Current Stock ]]&gt;=Product_Master!G14,"Available",IF(Table2[[#This Row],[Current Stock ]]&lt;=Product_Master!G14,"Low Stock"," Out of Stock"))</f>
        <v>Available</v>
      </c>
    </row>
    <row r="17" spans="1:9" x14ac:dyDescent="0.25">
      <c r="A17" s="18" t="s">
        <v>57</v>
      </c>
      <c r="B17" s="23" t="s">
        <v>19</v>
      </c>
      <c r="C17" s="23" t="s">
        <v>30</v>
      </c>
      <c r="D17" s="2">
        <f>SUMIFS(Table3[Quantity],Table3[Product ID],Table2[[#This Row],[Product ID]],Table3[Transaction Type],"Stock In")</f>
        <v>0</v>
      </c>
      <c r="E17" s="2">
        <f>SUMIFS(Table3[Quantity],Table3[Product ID],Table2[[#This Row],[Product ID]],Table3[Transaction Type],"Stock Out")</f>
        <v>20</v>
      </c>
      <c r="F17" s="2">
        <f>VLOOKUP(Table2[[#This Row],[Product ID]],Table1[#All],8,0)+Table2[[#This Row],[Stock In ]]-Table2[[#This Row],[Stock Out]]</f>
        <v>36</v>
      </c>
      <c r="G17" s="26">
        <f>VLOOKUP(Table2[[#This Row],[Product ID]],Table1[#All],6,0)</f>
        <v>55000</v>
      </c>
      <c r="H17" s="26">
        <f>Table2[[#This Row],[Current Stock ]]*Table2[[#This Row],[Unit Price]]</f>
        <v>1980000</v>
      </c>
      <c r="I17" s="11" t="str">
        <f>IF(Table2[[#This Row],[Current Stock ]]&gt;=Product_Master!G15,"Available",IF(Table2[[#This Row],[Current Stock ]]&lt;=Product_Master!G15,"Low Stock"," Out of Stock"))</f>
        <v>Available</v>
      </c>
    </row>
    <row r="18" spans="1:9" x14ac:dyDescent="0.25">
      <c r="A18" s="18" t="s">
        <v>95</v>
      </c>
      <c r="B18" s="23" t="s">
        <v>20</v>
      </c>
      <c r="C18" s="23" t="s">
        <v>30</v>
      </c>
      <c r="D18" s="2">
        <f>SUMIFS(Table3[Quantity],Table3[Product ID],Table2[[#This Row],[Product ID]],Table3[Transaction Type],"Stock In")</f>
        <v>0</v>
      </c>
      <c r="E18" s="2">
        <f>SUMIFS(Table3[Quantity],Table3[Product ID],Table2[[#This Row],[Product ID]],Table3[Transaction Type],"Stock Out")</f>
        <v>0</v>
      </c>
      <c r="F18" s="2">
        <f>VLOOKUP(Table2[[#This Row],[Product ID]],Table1[#All],8,0)+Table2[[#This Row],[Stock In ]]-Table2[[#This Row],[Stock Out]]</f>
        <v>32</v>
      </c>
      <c r="G18" s="26">
        <f>VLOOKUP(Table2[[#This Row],[Product ID]],Table1[#All],6,0)</f>
        <v>60000</v>
      </c>
      <c r="H18" s="26">
        <f>Table2[[#This Row],[Current Stock ]]*Table2[[#This Row],[Unit Price]]</f>
        <v>1920000</v>
      </c>
      <c r="I18" s="11" t="str">
        <f>IF(Table2[[#This Row],[Current Stock ]]&gt;=Product_Master!G16,"Available",IF(Table2[[#This Row],[Current Stock ]]&lt;=Product_Master!G16,"Low Stock"," Out of Stock"))</f>
        <v>Available</v>
      </c>
    </row>
    <row r="19" spans="1:9" x14ac:dyDescent="0.25">
      <c r="A19" s="18" t="s">
        <v>96</v>
      </c>
      <c r="B19" s="23" t="s">
        <v>21</v>
      </c>
      <c r="C19" s="23" t="s">
        <v>29</v>
      </c>
      <c r="D19" s="2">
        <f>SUMIFS(Table3[Quantity],Table3[Product ID],Table2[[#This Row],[Product ID]],Table3[Transaction Type],"Stock In")</f>
        <v>0</v>
      </c>
      <c r="E19" s="2">
        <f>SUMIFS(Table3[Quantity],Table3[Product ID],Table2[[#This Row],[Product ID]],Table3[Transaction Type],"Stock Out")</f>
        <v>0</v>
      </c>
      <c r="F19" s="2">
        <f>VLOOKUP(Table2[[#This Row],[Product ID]],Table1[#All],8,0)+Table2[[#This Row],[Stock In ]]-Table2[[#This Row],[Stock Out]]</f>
        <v>22</v>
      </c>
      <c r="G19" s="26">
        <f>VLOOKUP(Table2[[#This Row],[Product ID]],Table1[#All],6,0)</f>
        <v>8500</v>
      </c>
      <c r="H19" s="26">
        <f>Table2[[#This Row],[Current Stock ]]*Table2[[#This Row],[Unit Price]]</f>
        <v>187000</v>
      </c>
      <c r="I19" s="11" t="str">
        <f>IF(Table2[[#This Row],[Current Stock ]]&gt;=Product_Master!G17,"Available",IF(Table2[[#This Row],[Current Stock ]]&lt;=Product_Master!G17,"Low Stock"," Out of Stock"))</f>
        <v>Available</v>
      </c>
    </row>
    <row r="20" spans="1:9" x14ac:dyDescent="0.25">
      <c r="A20" s="18" t="s">
        <v>97</v>
      </c>
      <c r="B20" s="23" t="s">
        <v>22</v>
      </c>
      <c r="C20" s="23" t="s">
        <v>29</v>
      </c>
      <c r="D20" s="2">
        <f>SUMIFS(Table3[Quantity],Table3[Product ID],Table2[[#This Row],[Product ID]],Table3[Transaction Type],"Stock In")</f>
        <v>0</v>
      </c>
      <c r="E20" s="2">
        <f>SUMIFS(Table3[Quantity],Table3[Product ID],Table2[[#This Row],[Product ID]],Table3[Transaction Type],"Stock Out")</f>
        <v>0</v>
      </c>
      <c r="F20" s="2">
        <f>VLOOKUP(Table2[[#This Row],[Product ID]],Table1[#All],8,0)+Table2[[#This Row],[Stock In ]]-Table2[[#This Row],[Stock Out]]</f>
        <v>21</v>
      </c>
      <c r="G20" s="26">
        <f>VLOOKUP(Table2[[#This Row],[Product ID]],Table1[#All],6,0)</f>
        <v>7000</v>
      </c>
      <c r="H20" s="26">
        <f>Table2[[#This Row],[Current Stock ]]*Table2[[#This Row],[Unit Price]]</f>
        <v>147000</v>
      </c>
      <c r="I20" s="11" t="str">
        <f>IF(Table2[[#This Row],[Current Stock ]]&gt;=Product_Master!G18,"Available",IF(Table2[[#This Row],[Current Stock ]]&lt;=Product_Master!G18,"Low Stock"," Out of Stock"))</f>
        <v>Available</v>
      </c>
    </row>
    <row r="21" spans="1:9" x14ac:dyDescent="0.25">
      <c r="A21" s="18" t="s">
        <v>98</v>
      </c>
      <c r="B21" s="23" t="s">
        <v>23</v>
      </c>
      <c r="C21" s="23" t="s">
        <v>29</v>
      </c>
      <c r="D21" s="2">
        <f>SUMIFS(Table3[Quantity],Table3[Product ID],Table2[[#This Row],[Product ID]],Table3[Transaction Type],"Stock In")</f>
        <v>0</v>
      </c>
      <c r="E21" s="2">
        <f>SUMIFS(Table3[Quantity],Table3[Product ID],Table2[[#This Row],[Product ID]],Table3[Transaction Type],"Stock Out")</f>
        <v>0</v>
      </c>
      <c r="F21" s="2">
        <f>VLOOKUP(Table2[[#This Row],[Product ID]],Table1[#All],8,0)+Table2[[#This Row],[Stock In ]]-Table2[[#This Row],[Stock Out]]</f>
        <v>5</v>
      </c>
      <c r="G21" s="26">
        <f>VLOOKUP(Table2[[#This Row],[Product ID]],Table1[#All],6,0)</f>
        <v>9000</v>
      </c>
      <c r="H21" s="26">
        <f>Table2[[#This Row],[Current Stock ]]*Table2[[#This Row],[Unit Price]]</f>
        <v>45000</v>
      </c>
      <c r="I21" s="11" t="str">
        <f>IF(Table2[[#This Row],[Current Stock ]]&gt;=Product_Master!G19,"Available",IF(Table2[[#This Row],[Current Stock ]]&lt;=Product_Master!G19,"Low Stock"," Out of Stock"))</f>
        <v>Low Stock</v>
      </c>
    </row>
    <row r="22" spans="1:9" x14ac:dyDescent="0.25">
      <c r="A22" s="18" t="s">
        <v>58</v>
      </c>
      <c r="B22" s="23" t="s">
        <v>24</v>
      </c>
      <c r="C22" s="23" t="s">
        <v>31</v>
      </c>
      <c r="D22" s="2">
        <f>SUMIFS(Table3[Quantity],Table3[Product ID],Table2[[#This Row],[Product ID]],Table3[Transaction Type],"Stock In")</f>
        <v>15</v>
      </c>
      <c r="E22" s="2">
        <f>SUMIFS(Table3[Quantity],Table3[Product ID],Table2[[#This Row],[Product ID]],Table3[Transaction Type],"Stock Out")</f>
        <v>0</v>
      </c>
      <c r="F22" s="2">
        <f>VLOOKUP(Table2[[#This Row],[Product ID]],Table1[#All],8,0)+Table2[[#This Row],[Stock In ]]-Table2[[#This Row],[Stock Out]]</f>
        <v>30</v>
      </c>
      <c r="G22" s="26">
        <f>VLOOKUP(Table2[[#This Row],[Product ID]],Table1[#All],6,0)</f>
        <v>8500</v>
      </c>
      <c r="H22" s="26">
        <f>Table2[[#This Row],[Current Stock ]]*Table2[[#This Row],[Unit Price]]</f>
        <v>255000</v>
      </c>
      <c r="I22" s="11" t="str">
        <f>IF(Table2[[#This Row],[Current Stock ]]&gt;=Product_Master!G20,"Available",IF(Table2[[#This Row],[Current Stock ]]&lt;=Product_Master!G20,"Low Stock"," Out of Stock"))</f>
        <v>Available</v>
      </c>
    </row>
    <row r="23" spans="1:9" x14ac:dyDescent="0.25">
      <c r="A23" s="18" t="s">
        <v>63</v>
      </c>
      <c r="B23" s="23" t="s">
        <v>25</v>
      </c>
      <c r="C23" s="23" t="s">
        <v>31</v>
      </c>
      <c r="D23" s="2">
        <f>SUMIFS(Table3[Quantity],Table3[Product ID],Table2[[#This Row],[Product ID]],Table3[Transaction Type],"Stock In")</f>
        <v>20</v>
      </c>
      <c r="E23" s="2">
        <f>SUMIFS(Table3[Quantity],Table3[Product ID],Table2[[#This Row],[Product ID]],Table3[Transaction Type],"Stock Out")</f>
        <v>0</v>
      </c>
      <c r="F23" s="2">
        <f>VLOOKUP(Table2[[#This Row],[Product ID]],Table1[#All],8,0)+Table2[[#This Row],[Stock In ]]-Table2[[#This Row],[Stock Out]]</f>
        <v>24</v>
      </c>
      <c r="G23" s="26">
        <f>VLOOKUP(Table2[[#This Row],[Product ID]],Table1[#All],6,0)</f>
        <v>8500</v>
      </c>
      <c r="H23" s="26">
        <f>Table2[[#This Row],[Current Stock ]]*Table2[[#This Row],[Unit Price]]</f>
        <v>204000</v>
      </c>
      <c r="I23" s="11" t="str">
        <f>IF(Table2[[#This Row],[Current Stock ]]&gt;=Product_Master!G21,"Available",IF(Table2[[#This Row],[Current Stock ]]&lt;=Product_Master!G21,"Low Stock"," Out of Stock"))</f>
        <v>Available</v>
      </c>
    </row>
    <row r="24" spans="1:9" x14ac:dyDescent="0.25">
      <c r="A24" s="18" t="s">
        <v>99</v>
      </c>
      <c r="B24" s="23" t="s">
        <v>26</v>
      </c>
      <c r="C24" s="23" t="s">
        <v>28</v>
      </c>
      <c r="D24" s="2">
        <f>SUMIFS(Table3[Quantity],Table3[Product ID],Table2[[#This Row],[Product ID]],Table3[Transaction Type],"Stock In")</f>
        <v>0</v>
      </c>
      <c r="E24" s="2">
        <f>SUMIFS(Table3[Quantity],Table3[Product ID],Table2[[#This Row],[Product ID]],Table3[Transaction Type],"Stock Out")</f>
        <v>0</v>
      </c>
      <c r="F24" s="2">
        <f>VLOOKUP(Table2[[#This Row],[Product ID]],Table1[#All],8,0)+Table2[[#This Row],[Stock In ]]-Table2[[#This Row],[Stock Out]]</f>
        <v>23</v>
      </c>
      <c r="G24" s="26">
        <f>VLOOKUP(Table2[[#This Row],[Product ID]],Table1[#All],6,0)</f>
        <v>12000</v>
      </c>
      <c r="H24" s="26">
        <f>Table2[[#This Row],[Current Stock ]]*Table2[[#This Row],[Unit Price]]</f>
        <v>276000</v>
      </c>
      <c r="I24" s="11" t="str">
        <f>IF(Table2[[#This Row],[Current Stock ]]&gt;=Product_Master!G22,"Available",IF(Table2[[#This Row],[Current Stock ]]&lt;=Product_Master!G22,"Low Stock"," Out of Stock"))</f>
        <v>Available</v>
      </c>
    </row>
    <row r="25" spans="1:9" x14ac:dyDescent="0.25">
      <c r="A25" s="19" t="s">
        <v>100</v>
      </c>
      <c r="B25" s="24" t="s">
        <v>27</v>
      </c>
      <c r="C25" s="24" t="s">
        <v>29</v>
      </c>
      <c r="D25" s="14">
        <f>SUMIFS(Table3[Quantity],Table3[Product ID],Table2[[#This Row],[Product ID]],Table3[Transaction Type],"Stock In")</f>
        <v>0</v>
      </c>
      <c r="E25" s="2">
        <f>SUMIFS(Table3[Quantity],Table3[Product ID],Table2[[#This Row],[Product ID]],Table3[Transaction Type],"Stock Out")</f>
        <v>0</v>
      </c>
      <c r="F25" s="14">
        <f>VLOOKUP(Table2[[#This Row],[Product ID]],Table1[#All],8,0)+Table2[[#This Row],[Stock In ]]-Table2[[#This Row],[Stock Out]]</f>
        <v>24</v>
      </c>
      <c r="G25" s="27">
        <f>VLOOKUP(Table2[[#This Row],[Product ID]],Table1[#All],6,0)</f>
        <v>15000</v>
      </c>
      <c r="H25" s="27">
        <f>Table2[[#This Row],[Current Stock ]]*Table2[[#This Row],[Unit Price]]</f>
        <v>360000</v>
      </c>
      <c r="I25" s="11" t="str">
        <f>IF(Table2[[#This Row],[Current Stock ]]&gt;=Product_Master!G23,"Available",IF(Table2[[#This Row],[Current Stock ]]&lt;=Product_Master!G23,"Low Stock"," Out of Stock"))</f>
        <v>Available</v>
      </c>
    </row>
  </sheetData>
  <mergeCells count="2">
    <mergeCell ref="A2:I3"/>
    <mergeCell ref="A1:I1"/>
  </mergeCells>
  <conditionalFormatting sqref="I6:I25">
    <cfRule type="containsText" dxfId="3" priority="3" operator="containsText" text="Low ">
      <formula>NOT(ISERROR(SEARCH("Low ",I6)))</formula>
    </cfRule>
    <cfRule type="containsText" dxfId="2" priority="4" operator="containsText" text="A">
      <formula>NOT(ISERROR(SEARCH("A",I6)))</formula>
    </cfRule>
    <cfRule type="containsText" dxfId="1" priority="5" operator="containsText" text="&quot;Low Stock&quot;">
      <formula>NOT(ISERROR(SEARCH("""Low Stock""",I6)))</formula>
    </cfRule>
    <cfRule type="containsText" dxfId="0" priority="7" operator="containsText" text="&quot;Available&quot;">
      <formula>NOT(ISERROR(SEARCH("""Available""",I6)))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F900-A212-4B60-A583-80D3E1428A72}">
  <dimension ref="A2:C8"/>
  <sheetViews>
    <sheetView workbookViewId="0">
      <selection activeCell="D10" sqref="D10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12.85546875" bestFit="1" customWidth="1"/>
  </cols>
  <sheetData>
    <row r="2" spans="1:3" x14ac:dyDescent="0.25">
      <c r="A2" t="s">
        <v>113</v>
      </c>
    </row>
    <row r="3" spans="1:3" x14ac:dyDescent="0.25">
      <c r="A3" s="36" t="s">
        <v>107</v>
      </c>
      <c r="B3" s="1" t="s">
        <v>111</v>
      </c>
      <c r="C3" s="1" t="s">
        <v>102</v>
      </c>
    </row>
    <row r="4" spans="1:3" x14ac:dyDescent="0.25">
      <c r="A4" s="23" t="s">
        <v>31</v>
      </c>
      <c r="B4" s="37">
        <v>54</v>
      </c>
      <c r="C4" s="3">
        <v>459000</v>
      </c>
    </row>
    <row r="5" spans="1:3" x14ac:dyDescent="0.25">
      <c r="A5" s="23" t="s">
        <v>109</v>
      </c>
      <c r="B5" s="37">
        <v>147</v>
      </c>
      <c r="C5" s="3">
        <v>1337000</v>
      </c>
    </row>
    <row r="6" spans="1:3" x14ac:dyDescent="0.25">
      <c r="A6" s="23" t="s">
        <v>30</v>
      </c>
      <c r="B6" s="37">
        <v>68</v>
      </c>
      <c r="C6" s="3">
        <v>3900000</v>
      </c>
    </row>
    <row r="7" spans="1:3" x14ac:dyDescent="0.25">
      <c r="A7" s="23" t="s">
        <v>110</v>
      </c>
      <c r="B7" s="37">
        <v>276</v>
      </c>
      <c r="C7" s="3">
        <v>1570500</v>
      </c>
    </row>
    <row r="8" spans="1:3" x14ac:dyDescent="0.25">
      <c r="A8" s="23" t="s">
        <v>108</v>
      </c>
      <c r="B8" s="37">
        <v>545</v>
      </c>
      <c r="C8" s="3">
        <v>7266500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Product_Master</vt:lpstr>
      <vt:lpstr>Stock_Movement </vt:lpstr>
      <vt:lpstr>Inventory_summary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2026-04-22T10:15:16Z</dcterms:created>
  <dcterms:modified xsi:type="dcterms:W3CDTF">2026-04-28T10:36:42Z</dcterms:modified>
</cp:coreProperties>
</file>
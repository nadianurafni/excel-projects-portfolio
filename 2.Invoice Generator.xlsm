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cuments\my skill\mandiri\portofolio\"/>
    </mc:Choice>
  </mc:AlternateContent>
  <xr:revisionPtr revIDLastSave="0" documentId="13_ncr:1_{E9532A8D-72F6-4E37-B44D-75E6A9C16C9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Invoice template" sheetId="1" r:id="rId1"/>
    <sheet name="Data barang" sheetId="2" r:id="rId2"/>
    <sheet name="Nota otomatis " sheetId="3" r:id="rId3"/>
  </sheets>
  <functionGroups builtInGroupCount="19"/>
  <definedNames>
    <definedName name="_xlnm.Print_Area" localSheetId="2">'Nota otomatis '!$B$9:$G$34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3" i="3" l="1"/>
  <c r="F17" i="3"/>
  <c r="D13" i="3"/>
  <c r="F18" i="3"/>
  <c r="F19" i="3"/>
  <c r="F20" i="3"/>
  <c r="D21" i="3"/>
  <c r="F21" i="3" s="1"/>
  <c r="D22" i="3"/>
  <c r="F22" i="3" s="1"/>
  <c r="D23" i="3"/>
  <c r="F23" i="3" s="1"/>
  <c r="D24" i="3"/>
  <c r="F24" i="3" s="1"/>
  <c r="D25" i="3"/>
  <c r="F25" i="3" s="1"/>
  <c r="F26" i="3"/>
  <c r="D27" i="3" s="1"/>
  <c r="B21" i="3"/>
  <c r="B22" i="3"/>
  <c r="B23" i="3"/>
  <c r="B24" i="3"/>
  <c r="B25" i="3"/>
  <c r="A15" i="2"/>
  <c r="A16" i="2"/>
  <c r="A17" i="2"/>
  <c r="A18" i="2"/>
  <c r="A5" i="2"/>
  <c r="A6" i="2"/>
  <c r="A7" i="2"/>
  <c r="A8" i="2"/>
  <c r="A9" i="2"/>
  <c r="A10" i="2"/>
  <c r="A11" i="2"/>
  <c r="A12" i="2"/>
  <c r="A13" i="2"/>
  <c r="A14" i="2"/>
  <c r="A4" i="2"/>
  <c r="F29" i="1"/>
  <c r="F28" i="1"/>
  <c r="F27" i="1"/>
  <c r="F20" i="1"/>
  <c r="F15" i="1"/>
</calcChain>
</file>

<file path=xl/sharedStrings.xml><?xml version="1.0" encoding="utf-8"?>
<sst xmlns="http://schemas.openxmlformats.org/spreadsheetml/2006/main" count="90" uniqueCount="69">
  <si>
    <t xml:space="preserve">INVOICE  JASA                                                                      </t>
  </si>
  <si>
    <t># INV-2025-001</t>
  </si>
  <si>
    <t>BELUM DI BAYAR</t>
  </si>
  <si>
    <t xml:space="preserve">Cilegon, Banten • (021)xxx  •Perusahaan id@gmail
</t>
  </si>
  <si>
    <t>Nama Perusahaan /Usaha</t>
  </si>
  <si>
    <t xml:space="preserve">TAGIH KEPADA </t>
  </si>
  <si>
    <t xml:space="preserve">Nama Klien </t>
  </si>
  <si>
    <t>Perusahaan Klien</t>
  </si>
  <si>
    <t>email klien@gmail.com | 08-xxx-xxx-xxx</t>
  </si>
  <si>
    <t>Tanggal Invoice</t>
  </si>
  <si>
    <t>Jatuh Tempo</t>
  </si>
  <si>
    <t xml:space="preserve">Mata Uang </t>
  </si>
  <si>
    <t>IDR (Rupiah)</t>
  </si>
  <si>
    <t>18 Maret 2025</t>
  </si>
  <si>
    <t>NO</t>
  </si>
  <si>
    <t>DESKRIPSI LAYANAN</t>
  </si>
  <si>
    <t>DETAIL</t>
  </si>
  <si>
    <t>QTY</t>
  </si>
  <si>
    <t>TOTAL</t>
  </si>
  <si>
    <t>Perbaikan xxxx</t>
  </si>
  <si>
    <t>Penggantian</t>
  </si>
  <si>
    <t>xxxx</t>
  </si>
  <si>
    <t>Subtotal</t>
  </si>
  <si>
    <t>Pajak PPN (11%)</t>
  </si>
  <si>
    <t xml:space="preserve">TOTAL BAYAR </t>
  </si>
  <si>
    <t>PART/ TAMBAHAN</t>
  </si>
  <si>
    <t>INFORMASI PEMBAYARAN</t>
  </si>
  <si>
    <t xml:space="preserve">Bank BRI | No. Rekening: 134567| Nama entitas perusahaan </t>
  </si>
  <si>
    <t>Pembayaran dilakukan paling lambat 30 hari setelah invoice di terima</t>
  </si>
  <si>
    <t>DAFTAR BARANG</t>
  </si>
  <si>
    <t xml:space="preserve">NAMA BARANG </t>
  </si>
  <si>
    <t xml:space="preserve">MODAL </t>
  </si>
  <si>
    <t>HARGA JUAL</t>
  </si>
  <si>
    <t>Laptop ASUS VivoBook</t>
  </si>
  <si>
    <t xml:space="preserve">Mouse Wireless Logitech </t>
  </si>
  <si>
    <t>Keyboard Mechanical</t>
  </si>
  <si>
    <t xml:space="preserve">Monitor LED 24 Inch </t>
  </si>
  <si>
    <t xml:space="preserve">Headshet Gaming </t>
  </si>
  <si>
    <t>Flasdisk 64 GB</t>
  </si>
  <si>
    <t>SSD External 500 GB</t>
  </si>
  <si>
    <t>Webcam HD 1080p</t>
  </si>
  <si>
    <t>Speaker Bluetooth</t>
  </si>
  <si>
    <t>Mousepad XL</t>
  </si>
  <si>
    <t>Laptop Stand</t>
  </si>
  <si>
    <t>USB Hub 4 Port</t>
  </si>
  <si>
    <t>Cooling Pad Laptop</t>
  </si>
  <si>
    <t>Kabel HDMI 2m</t>
  </si>
  <si>
    <t>Power Bank 2000mAh</t>
  </si>
  <si>
    <t>NAMA PELANGGAN</t>
  </si>
  <si>
    <t>NAMA BARANG</t>
  </si>
  <si>
    <t xml:space="preserve">JUMLAH BARANG </t>
  </si>
  <si>
    <t>TANGGAL</t>
  </si>
  <si>
    <t xml:space="preserve">PELANGGAN </t>
  </si>
  <si>
    <t>No</t>
  </si>
  <si>
    <t>HARGA</t>
  </si>
  <si>
    <t>Qty</t>
  </si>
  <si>
    <t>JUMLAH</t>
  </si>
  <si>
    <t>Ket.</t>
  </si>
  <si>
    <t>GRAND TOTAL :</t>
  </si>
  <si>
    <t>TANDA TERIMA,</t>
  </si>
  <si>
    <t>HORMAT KAMI</t>
  </si>
  <si>
    <t>BARANG YANG SUDAH DIBELI TIDAK DAPAT DIKEMBALIKAN/DITUKAR</t>
  </si>
  <si>
    <t xml:space="preserve"> </t>
  </si>
  <si>
    <t>RACHEL</t>
  </si>
  <si>
    <t xml:space="preserve">NOTA KONTAN </t>
  </si>
  <si>
    <t>TOKO NADIA ELEKTRONIK</t>
  </si>
  <si>
    <t>(Toko Nadia Elektronik)</t>
  </si>
  <si>
    <t>TERIMAKASIH TELAH BERBELANJA DI TOKO NADIA ELEKTRONIK</t>
  </si>
  <si>
    <t>LUNAS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</si>
</sst>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Rp&quot;* #,##0_-;\-&quot;Rp&quot;* #,##0_-;_-&quot;Rp&quot;* &quot;-&quot;_-;_-@_-"/>
    <numFmt numFmtId="164" formatCode="@\ * &quot; : &quot;"/>
    <numFmt numFmtId="165" formatCode="dd\ mmmm\ yyyy"/>
    <numFmt numFmtId="166" formatCode="&quot;Rp&quot;#,##0"/>
    <numFmt numFmtId="167" formatCode="@* \:"/>
    <numFmt numFmtId="168" formatCode="General\ &quot;Unit&quot;"/>
  </numFmts>
  <fonts count="27">
    <font>
      <sz val="11"/>
      <color theme="1"/>
      <name val="Calibri"/>
      <family val="2"/>
      <scheme val="minor"/>
    </font>
    <font>
      <b/>
      <sz val="13"/>
      <color theme="2"/>
      <name val="Arial"/>
      <family val="2"/>
    </font>
    <font>
      <sz val="25"/>
      <color theme="0"/>
      <name val="Calibri"/>
      <family val="2"/>
      <scheme val="minor"/>
    </font>
    <font>
      <sz val="12"/>
      <color theme="0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9"/>
      <color theme="2" tint="-0.749992370372631"/>
      <name val="Arial"/>
      <family val="2"/>
    </font>
    <font>
      <sz val="14"/>
      <color theme="2" tint="-0.749992370372631"/>
      <name val="Calibri (Badan)"/>
    </font>
    <font>
      <i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0"/>
      <color theme="2" tint="-0.749992370372631"/>
      <name val="Arial"/>
      <family val="2"/>
    </font>
    <font>
      <b/>
      <sz val="9"/>
      <color theme="2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color theme="0" tint="-4.9989318521683403E-2"/>
      <name val="Arial"/>
      <family val="2"/>
    </font>
    <font>
      <i/>
      <sz val="9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4"/>
      <color theme="1"/>
      <name val="Arial Narrow"/>
      <family val="2"/>
    </font>
    <font>
      <sz val="9"/>
      <color theme="1"/>
      <name val="Arial Narrow"/>
      <family val="2"/>
    </font>
    <font>
      <sz val="12"/>
      <color rgb="FF3B1F5B"/>
      <name val="Arial Narrow"/>
      <family val="2"/>
    </font>
    <font>
      <b/>
      <sz val="16"/>
      <color rgb="FF4B0082"/>
      <name val="Arial Narrow"/>
      <family val="2"/>
    </font>
    <font>
      <b/>
      <sz val="12"/>
      <color theme="0" tint="-0.14999847407452621"/>
      <name val="Arial Narrow"/>
      <family val="2"/>
    </font>
    <font>
      <b/>
      <sz val="14"/>
      <color rgb="FF3B1F5B"/>
      <name val="Arial Narrow"/>
      <family val="2"/>
    </font>
    <font>
      <i/>
      <sz val="8"/>
      <color theme="1"/>
      <name val="Arial Narrow"/>
      <family val="2"/>
    </font>
    <font>
      <i/>
      <sz val="12"/>
      <color rgb="FFF3E8FF"/>
      <name val="Arial Narrow"/>
      <family val="2"/>
    </font>
    <font>
      <sz val="25"/>
      <color rgb="FFF3E8FF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3B1F6B"/>
        <bgColor indexed="64"/>
      </patternFill>
    </fill>
    <fill>
      <patternFill patternType="solid">
        <fgColor rgb="FF6B5B95"/>
        <bgColor indexed="64"/>
      </patternFill>
    </fill>
    <fill>
      <patternFill patternType="solid">
        <fgColor rgb="FF7B68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B1F5B"/>
        <bgColor indexed="64"/>
      </patternFill>
    </fill>
    <fill>
      <patternFill patternType="solid">
        <fgColor rgb="FFF3E8FF"/>
        <bgColor indexed="64"/>
      </patternFill>
    </fill>
    <fill>
      <patternFill patternType="solid">
        <fgColor theme="9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3" fillId="0" borderId="0" xfId="0" applyFont="1" applyAlignment="1">
      <alignment vertical="center"/>
    </xf>
    <xf numFmtId="0" fontId="0" fillId="4" borderId="0" xfId="0" applyFill="1"/>
    <xf numFmtId="0" fontId="8" fillId="0" borderId="0" xfId="0" applyFont="1"/>
    <xf numFmtId="0" fontId="9" fillId="0" borderId="0" xfId="0" applyFont="1"/>
    <xf numFmtId="0" fontId="6" fillId="0" borderId="0" xfId="0" applyFont="1"/>
    <xf numFmtId="0" fontId="10" fillId="0" borderId="0" xfId="0" applyFont="1"/>
    <xf numFmtId="0" fontId="4" fillId="0" borderId="0" xfId="0" applyFont="1"/>
    <xf numFmtId="164" fontId="5" fillId="0" borderId="0" xfId="0" applyNumberFormat="1" applyFont="1"/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11" fillId="5" borderId="0" xfId="0" applyFont="1" applyFill="1" applyAlignment="1">
      <alignment horizontal="center"/>
    </xf>
    <xf numFmtId="166" fontId="4" fillId="0" borderId="0" xfId="0" applyNumberFormat="1" applyFont="1"/>
    <xf numFmtId="0" fontId="5" fillId="0" borderId="0" xfId="0" applyFont="1"/>
    <xf numFmtId="166" fontId="0" fillId="0" borderId="0" xfId="0" applyNumberFormat="1"/>
    <xf numFmtId="0" fontId="5" fillId="0" borderId="0" xfId="0" applyFont="1" applyAlignment="1">
      <alignment horizontal="right"/>
    </xf>
    <xf numFmtId="0" fontId="13" fillId="4" borderId="0" xfId="0" applyFont="1" applyFill="1" applyAlignment="1">
      <alignment horizontal="right"/>
    </xf>
    <xf numFmtId="166" fontId="12" fillId="4" borderId="0" xfId="0" applyNumberFormat="1" applyFont="1" applyFill="1"/>
    <xf numFmtId="0" fontId="15" fillId="0" borderId="0" xfId="0" applyFont="1"/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42" fontId="0" fillId="0" borderId="1" xfId="0" applyNumberFormat="1" applyBorder="1"/>
    <xf numFmtId="0" fontId="16" fillId="0" borderId="0" xfId="0" applyFont="1"/>
    <xf numFmtId="42" fontId="16" fillId="0" borderId="0" xfId="0" applyNumberFormat="1" applyFont="1"/>
    <xf numFmtId="0" fontId="16" fillId="0" borderId="3" xfId="0" applyFont="1" applyBorder="1"/>
    <xf numFmtId="42" fontId="16" fillId="0" borderId="3" xfId="0" applyNumberFormat="1" applyFont="1" applyBorder="1"/>
    <xf numFmtId="0" fontId="16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168" fontId="16" fillId="0" borderId="0" xfId="0" applyNumberFormat="1" applyFont="1"/>
    <xf numFmtId="168" fontId="16" fillId="0" borderId="3" xfId="0" applyNumberFormat="1" applyFont="1" applyBorder="1"/>
    <xf numFmtId="14" fontId="16" fillId="0" borderId="0" xfId="0" applyNumberFormat="1" applyFont="1" applyAlignment="1">
      <alignment horizontal="left"/>
    </xf>
    <xf numFmtId="0" fontId="16" fillId="5" borderId="0" xfId="0" applyFont="1" applyFill="1"/>
    <xf numFmtId="168" fontId="16" fillId="5" borderId="0" xfId="0" applyNumberFormat="1" applyFont="1" applyFill="1" applyAlignment="1">
      <alignment horizontal="left"/>
    </xf>
    <xf numFmtId="0" fontId="22" fillId="5" borderId="2" xfId="0" applyFont="1" applyFill="1" applyBorder="1" applyAlignment="1">
      <alignment horizontal="center"/>
    </xf>
    <xf numFmtId="0" fontId="16" fillId="8" borderId="0" xfId="0" applyFont="1" applyFill="1" applyAlignment="1">
      <alignment horizontal="center"/>
    </xf>
    <xf numFmtId="0" fontId="16" fillId="8" borderId="0" xfId="0" applyFont="1" applyFill="1"/>
    <xf numFmtId="42" fontId="16" fillId="8" borderId="0" xfId="0" applyNumberFormat="1" applyFont="1" applyFill="1"/>
    <xf numFmtId="168" fontId="16" fillId="8" borderId="0" xfId="0" applyNumberFormat="1" applyFont="1" applyFill="1"/>
    <xf numFmtId="0" fontId="21" fillId="0" borderId="0" xfId="0" applyFont="1" applyAlignment="1">
      <alignment horizontal="center"/>
    </xf>
    <xf numFmtId="0" fontId="21" fillId="0" borderId="4" xfId="0" applyFont="1" applyBorder="1" applyAlignment="1">
      <alignment horizontal="center"/>
    </xf>
    <xf numFmtId="0" fontId="20" fillId="0" borderId="0" xfId="0" applyFont="1" applyAlignment="1">
      <alignment horizontal="left"/>
    </xf>
    <xf numFmtId="42" fontId="20" fillId="6" borderId="4" xfId="0" applyNumberFormat="1" applyFont="1" applyFill="1" applyBorder="1"/>
    <xf numFmtId="0" fontId="13" fillId="7" borderId="0" xfId="0" applyFont="1" applyFill="1" applyAlignment="1">
      <alignment horizontal="left"/>
    </xf>
    <xf numFmtId="0" fontId="13" fillId="4" borderId="0" xfId="0" applyFont="1" applyFill="1" applyAlignment="1">
      <alignment horizontal="left"/>
    </xf>
    <xf numFmtId="0" fontId="14" fillId="0" borderId="0" xfId="0" applyFont="1" applyAlignment="1">
      <alignment horizontal="left"/>
    </xf>
    <xf numFmtId="0" fontId="12" fillId="6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2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167" fontId="18" fillId="5" borderId="0" xfId="0" applyNumberFormat="1" applyFont="1" applyFill="1"/>
    <xf numFmtId="0" fontId="16" fillId="0" borderId="0" xfId="0" applyFont="1" applyAlignment="1">
      <alignment horizontal="center"/>
    </xf>
    <xf numFmtId="0" fontId="24" fillId="0" borderId="0" xfId="0" applyFont="1" applyAlignment="1">
      <alignment horizontal="left" vertical="center" wrapText="1"/>
    </xf>
    <xf numFmtId="167" fontId="16" fillId="0" borderId="0" xfId="0" applyNumberFormat="1" applyFont="1"/>
    <xf numFmtId="0" fontId="17" fillId="6" borderId="4" xfId="0" applyFont="1" applyFill="1" applyBorder="1" applyAlignment="1">
      <alignment horizontal="center"/>
    </xf>
    <xf numFmtId="0" fontId="19" fillId="0" borderId="5" xfId="0" applyFont="1" applyBorder="1" applyAlignment="1">
      <alignment horizontal="right" vertical="top"/>
    </xf>
    <xf numFmtId="0" fontId="19" fillId="0" borderId="0" xfId="0" applyFont="1" applyAlignment="1">
      <alignment horizontal="right" vertical="top"/>
    </xf>
    <xf numFmtId="0" fontId="23" fillId="0" borderId="0" xfId="0" applyFont="1" applyAlignment="1">
      <alignment horizontal="center"/>
    </xf>
    <xf numFmtId="0" fontId="16" fillId="0" borderId="0" xfId="0" applyFont="1"/>
    <xf numFmtId="0" fontId="21" fillId="0" borderId="2" xfId="0" applyFont="1" applyBorder="1" applyAlignment="1">
      <alignment horizontal="center"/>
    </xf>
    <xf numFmtId="0" fontId="25" fillId="5" borderId="0" xfId="0" applyFont="1" applyFill="1" applyAlignment="1">
      <alignment horizontal="center" vertical="top"/>
    </xf>
    <xf numFmtId="0" fontId="16" fillId="0" borderId="0" xfId="0" applyFont="1" applyAlignment="1">
      <alignment vertical="center"/>
    </xf>
    <xf numFmtId="0" fontId="26" fillId="9" borderId="5" xfId="0" applyFont="1" applyFill="1" applyBorder="1" applyAlignment="1">
      <alignment horizontal="center" vertical="center"/>
    </xf>
    <xf numFmtId="0" fontId="26" fillId="9" borderId="0" xfId="0" applyFont="1" applyFill="1" applyAlignment="1">
      <alignment horizontal="center" vertical="center"/>
    </xf>
    <xf numFmtId="0" fontId="26" fillId="9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3E8FF"/>
      <color rgb="FF7B68A0"/>
      <color rgb="FF3B1F5B"/>
      <color rgb="FF3B1F6B"/>
      <color rgb="FF4B0082"/>
      <color rgb="FFFFFFFF"/>
      <color rgb="FF6B5B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0</xdr:row>
      <xdr:rowOff>180975</xdr:rowOff>
    </xdr:from>
    <xdr:to>
      <xdr:col>5</xdr:col>
      <xdr:colOff>1152525</xdr:colOff>
      <xdr:row>3</xdr:row>
      <xdr:rowOff>9525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2DADD99-F9CF-87EC-0B7A-8B61D95AA891}"/>
            </a:ext>
          </a:extLst>
        </xdr:cNvPr>
        <xdr:cNvSpPr/>
      </xdr:nvSpPr>
      <xdr:spPr>
        <a:xfrm>
          <a:off x="3971924" y="180975"/>
          <a:ext cx="1095376" cy="323850"/>
        </a:xfrm>
        <a:prstGeom prst="roundRect">
          <a:avLst/>
        </a:prstGeom>
        <a:solidFill>
          <a:srgbClr val="6B5B9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400"/>
            <a:t>NOTA BARU  </a:t>
          </a:r>
        </a:p>
      </xdr:txBody>
    </xdr:sp>
    <xdr:clientData/>
  </xdr:twoCellAnchor>
  <xdr:twoCellAnchor>
    <xdr:from>
      <xdr:col>5</xdr:col>
      <xdr:colOff>47624</xdr:colOff>
      <xdr:row>3</xdr:row>
      <xdr:rowOff>133350</xdr:rowOff>
    </xdr:from>
    <xdr:to>
      <xdr:col>5</xdr:col>
      <xdr:colOff>1171575</xdr:colOff>
      <xdr:row>5</xdr:row>
      <xdr:rowOff>180975</xdr:rowOff>
    </xdr:to>
    <xdr:sp macro="[0]!inpu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047C000-AE40-4371-85A0-A8FD8C6701AE}"/>
            </a:ext>
          </a:extLst>
        </xdr:cNvPr>
        <xdr:cNvSpPr/>
      </xdr:nvSpPr>
      <xdr:spPr>
        <a:xfrm>
          <a:off x="3962399" y="628650"/>
          <a:ext cx="1123951" cy="371475"/>
        </a:xfrm>
        <a:prstGeom prst="roundRect">
          <a:avLst/>
        </a:prstGeom>
        <a:solidFill>
          <a:srgbClr val="6B5B9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400"/>
            <a:t>INPUT DATA</a:t>
          </a:r>
        </a:p>
      </xdr:txBody>
    </xdr:sp>
    <xdr:clientData/>
  </xdr:twoCellAnchor>
  <xdr:twoCellAnchor>
    <xdr:from>
      <xdr:col>0</xdr:col>
      <xdr:colOff>64626</xdr:colOff>
      <xdr:row>9</xdr:row>
      <xdr:rowOff>241408</xdr:rowOff>
    </xdr:from>
    <xdr:to>
      <xdr:col>6</xdr:col>
      <xdr:colOff>439362</xdr:colOff>
      <xdr:row>11</xdr:row>
      <xdr:rowOff>48542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4929C4A-5562-B738-923E-6C9574F99D01}"/>
            </a:ext>
          </a:extLst>
        </xdr:cNvPr>
        <xdr:cNvSpPr/>
      </xdr:nvSpPr>
      <xdr:spPr>
        <a:xfrm>
          <a:off x="64626" y="1926206"/>
          <a:ext cx="5895139" cy="33971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100" i="1">
              <a:solidFill>
                <a:schemeClr val="tx1"/>
              </a:solidFill>
            </a:rPr>
            <a:t>Jln.</a:t>
          </a:r>
          <a:r>
            <a:rPr lang="en-ID" sz="1100" i="1" baseline="0">
              <a:solidFill>
                <a:schemeClr val="tx1"/>
              </a:solidFill>
            </a:rPr>
            <a:t> Kenanga No 9 , Jombang, Jawa Timur</a:t>
          </a:r>
          <a:endParaRPr lang="en-ID" sz="1100" i="1">
            <a:solidFill>
              <a:schemeClr val="tx1"/>
            </a:solidFill>
          </a:endParaRPr>
        </a:p>
        <a:p>
          <a:pPr algn="l"/>
          <a:endParaRPr lang="en-ID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185544</xdr:colOff>
      <xdr:row>10</xdr:row>
      <xdr:rowOff>159600</xdr:rowOff>
    </xdr:from>
    <xdr:to>
      <xdr:col>3</xdr:col>
      <xdr:colOff>1004943</xdr:colOff>
      <xdr:row>11</xdr:row>
      <xdr:rowOff>92522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891F6B6-9EBB-48DB-902B-9B239E207BD3}"/>
            </a:ext>
          </a:extLst>
        </xdr:cNvPr>
        <xdr:cNvSpPr/>
      </xdr:nvSpPr>
      <xdr:spPr>
        <a:xfrm>
          <a:off x="908962" y="2124885"/>
          <a:ext cx="2543544" cy="1981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000" i="1">
              <a:solidFill>
                <a:schemeClr val="tx1"/>
              </a:solidFill>
            </a:rPr>
            <a:t>Hp.</a:t>
          </a:r>
          <a:r>
            <a:rPr lang="en-ID" sz="1000" i="1" baseline="0">
              <a:solidFill>
                <a:schemeClr val="tx1"/>
              </a:solidFill>
            </a:rPr>
            <a:t> 086745328987</a:t>
          </a:r>
          <a:endParaRPr lang="en-ID" sz="1000" i="1">
            <a:solidFill>
              <a:schemeClr val="tx1"/>
            </a:solidFill>
          </a:endParaRPr>
        </a:p>
        <a:p>
          <a:pPr algn="ctr"/>
          <a:endParaRPr lang="en-ID" sz="1000" i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1670799</xdr:colOff>
      <xdr:row>10</xdr:row>
      <xdr:rowOff>153293</xdr:rowOff>
    </xdr:from>
    <xdr:to>
      <xdr:col>5</xdr:col>
      <xdr:colOff>662364</xdr:colOff>
      <xdr:row>11</xdr:row>
      <xdr:rowOff>97421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4C1AEFE-04BC-47EA-9D2D-1C90B5749D51}"/>
            </a:ext>
          </a:extLst>
        </xdr:cNvPr>
        <xdr:cNvSpPr/>
      </xdr:nvSpPr>
      <xdr:spPr>
        <a:xfrm>
          <a:off x="2394217" y="2118578"/>
          <a:ext cx="2560425" cy="209381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000" i="1">
              <a:solidFill>
                <a:schemeClr val="tx1"/>
              </a:solidFill>
            </a:rPr>
            <a:t>Email:tokonadiaelektro@gmail.com</a:t>
          </a:r>
        </a:p>
        <a:p>
          <a:pPr algn="ctr"/>
          <a:endParaRPr lang="en-ID" sz="900" i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33"/>
  <sheetViews>
    <sheetView showGridLines="0" zoomScale="89" workbookViewId="0">
      <selection activeCell="E2" sqref="E2:F2"/>
    </sheetView>
  </sheetViews>
  <sheetFormatPr defaultRowHeight="15"/>
  <cols>
    <col min="1" max="1" width="4.28515625" customWidth="1"/>
    <col min="2" max="2" width="31.5703125" customWidth="1"/>
    <col min="3" max="3" width="23.42578125" customWidth="1"/>
    <col min="4" max="4" width="16" customWidth="1"/>
    <col min="5" max="5" width="16.140625" customWidth="1"/>
    <col min="6" max="6" width="18.140625" bestFit="1" customWidth="1"/>
  </cols>
  <sheetData>
    <row r="1" spans="2:7" ht="6.75" customHeight="1"/>
    <row r="2" spans="2:7" ht="32.25" customHeight="1">
      <c r="B2" s="53" t="s">
        <v>0</v>
      </c>
      <c r="C2" s="53"/>
      <c r="D2" s="53"/>
      <c r="E2" s="54" t="s">
        <v>1</v>
      </c>
      <c r="F2" s="54"/>
      <c r="G2" s="1"/>
    </row>
    <row r="3" spans="2:7" ht="21.75" customHeight="1">
      <c r="B3" s="52" t="s">
        <v>4</v>
      </c>
      <c r="C3" s="52"/>
      <c r="D3" s="52"/>
      <c r="E3" s="51" t="s">
        <v>2</v>
      </c>
      <c r="F3" s="51"/>
    </row>
    <row r="4" spans="2:7">
      <c r="B4" s="3" t="s">
        <v>3</v>
      </c>
      <c r="C4" s="4"/>
      <c r="D4" s="4"/>
      <c r="E4" s="51"/>
      <c r="F4" s="51"/>
    </row>
    <row r="5" spans="2:7" ht="11.25" customHeight="1">
      <c r="B5" s="2"/>
      <c r="C5" s="2"/>
      <c r="D5" s="2"/>
      <c r="E5" s="2"/>
      <c r="F5" s="2"/>
    </row>
    <row r="6" spans="2:7">
      <c r="B6" s="5" t="s">
        <v>5</v>
      </c>
    </row>
    <row r="7" spans="2:7">
      <c r="B7" s="6" t="s">
        <v>6</v>
      </c>
      <c r="E7" s="8" t="s">
        <v>9</v>
      </c>
      <c r="F7" s="9" t="s">
        <v>13</v>
      </c>
    </row>
    <row r="8" spans="2:7">
      <c r="B8" s="7" t="s">
        <v>7</v>
      </c>
      <c r="E8" s="8" t="s">
        <v>10</v>
      </c>
      <c r="F8" s="10">
        <v>45765</v>
      </c>
    </row>
    <row r="9" spans="2:7">
      <c r="B9" s="7" t="s">
        <v>8</v>
      </c>
      <c r="E9" s="8" t="s">
        <v>11</v>
      </c>
      <c r="F9" s="11" t="s">
        <v>12</v>
      </c>
    </row>
    <row r="10" spans="2:7" ht="6" customHeight="1"/>
    <row r="11" spans="2:7">
      <c r="B11" s="13" t="s">
        <v>14</v>
      </c>
      <c r="C11" s="13" t="s">
        <v>15</v>
      </c>
      <c r="D11" s="13" t="s">
        <v>16</v>
      </c>
      <c r="E11" s="13" t="s">
        <v>17</v>
      </c>
      <c r="F11" s="13" t="s">
        <v>18</v>
      </c>
    </row>
    <row r="12" spans="2:7">
      <c r="B12" s="12">
        <v>1</v>
      </c>
      <c r="C12" s="15" t="s">
        <v>19</v>
      </c>
      <c r="D12" s="7" t="s">
        <v>20</v>
      </c>
      <c r="E12" s="12">
        <v>1</v>
      </c>
      <c r="F12" s="14">
        <v>270000</v>
      </c>
    </row>
    <row r="13" spans="2:7">
      <c r="B13" s="12">
        <v>2</v>
      </c>
      <c r="C13" s="15" t="s">
        <v>19</v>
      </c>
      <c r="D13" s="7" t="s">
        <v>21</v>
      </c>
      <c r="E13" s="12">
        <v>2</v>
      </c>
      <c r="F13" s="14">
        <v>140000</v>
      </c>
    </row>
    <row r="14" spans="2:7">
      <c r="B14" s="12">
        <v>3</v>
      </c>
      <c r="C14" s="15" t="s">
        <v>19</v>
      </c>
      <c r="D14" s="7" t="s">
        <v>21</v>
      </c>
      <c r="E14" s="12">
        <v>1</v>
      </c>
      <c r="F14" s="14">
        <v>360000</v>
      </c>
    </row>
    <row r="15" spans="2:7">
      <c r="B15" s="12"/>
      <c r="C15" s="15"/>
      <c r="D15" s="7"/>
      <c r="E15" s="12"/>
      <c r="F15" s="14">
        <f>SUM(F12:F14)</f>
        <v>770000</v>
      </c>
    </row>
    <row r="16" spans="2:7">
      <c r="B16" s="13" t="s">
        <v>14</v>
      </c>
      <c r="C16" s="13" t="s">
        <v>25</v>
      </c>
      <c r="D16" s="13" t="s">
        <v>16</v>
      </c>
      <c r="E16" s="13" t="s">
        <v>17</v>
      </c>
      <c r="F16" s="13" t="s">
        <v>18</v>
      </c>
    </row>
    <row r="17" spans="2:6">
      <c r="B17" s="12">
        <v>1</v>
      </c>
      <c r="C17" s="15" t="s">
        <v>21</v>
      </c>
      <c r="D17" s="7" t="s">
        <v>21</v>
      </c>
      <c r="E17" s="12">
        <v>3</v>
      </c>
      <c r="F17" s="14">
        <v>34000</v>
      </c>
    </row>
    <row r="18" spans="2:6">
      <c r="B18" s="12">
        <v>2</v>
      </c>
      <c r="C18" s="15" t="s">
        <v>21</v>
      </c>
      <c r="D18" s="7" t="s">
        <v>21</v>
      </c>
      <c r="E18" s="12">
        <v>7</v>
      </c>
      <c r="F18" s="14">
        <v>67000</v>
      </c>
    </row>
    <row r="19" spans="2:6" ht="7.5" customHeight="1"/>
    <row r="20" spans="2:6" ht="18.75" customHeight="1">
      <c r="F20" s="16">
        <f>SUM(F17:F19)</f>
        <v>101000</v>
      </c>
    </row>
    <row r="21" spans="2:6">
      <c r="B21" s="49"/>
      <c r="C21" s="49"/>
      <c r="D21" s="49"/>
      <c r="E21" s="49"/>
      <c r="F21" s="49"/>
    </row>
    <row r="22" spans="2:6">
      <c r="B22" s="48"/>
      <c r="C22" s="48"/>
      <c r="D22" s="48"/>
      <c r="E22" s="48"/>
      <c r="F22" s="48"/>
    </row>
    <row r="23" spans="2:6">
      <c r="B23" s="49"/>
      <c r="C23" s="49"/>
      <c r="D23" s="49"/>
      <c r="E23" s="49"/>
      <c r="F23" s="49"/>
    </row>
    <row r="24" spans="2:6">
      <c r="B24" s="50"/>
      <c r="C24" s="50"/>
      <c r="D24" s="50"/>
      <c r="E24" s="50"/>
      <c r="F24" s="50"/>
    </row>
    <row r="25" spans="2:6">
      <c r="B25" s="49"/>
      <c r="C25" s="49"/>
      <c r="D25" s="49"/>
      <c r="E25" s="49"/>
      <c r="F25" s="49"/>
    </row>
    <row r="26" spans="2:6">
      <c r="B26" s="50"/>
      <c r="C26" s="50"/>
      <c r="D26" s="50"/>
      <c r="E26" s="50"/>
      <c r="F26" s="50"/>
    </row>
    <row r="27" spans="2:6">
      <c r="E27" s="17" t="s">
        <v>22</v>
      </c>
      <c r="F27" s="16">
        <f>SUM(F15+F20)</f>
        <v>871000</v>
      </c>
    </row>
    <row r="28" spans="2:6">
      <c r="E28" s="11" t="s">
        <v>23</v>
      </c>
      <c r="F28" s="16">
        <f>F27*11%</f>
        <v>95810</v>
      </c>
    </row>
    <row r="29" spans="2:6">
      <c r="E29" s="18" t="s">
        <v>24</v>
      </c>
      <c r="F29" s="19">
        <f>F27+F28</f>
        <v>966810</v>
      </c>
    </row>
    <row r="30" spans="2:6" ht="6.75" customHeight="1">
      <c r="E30" s="7"/>
    </row>
    <row r="31" spans="2:6">
      <c r="B31" s="45" t="s">
        <v>26</v>
      </c>
      <c r="C31" s="45"/>
      <c r="D31" s="45"/>
      <c r="E31" s="45"/>
      <c r="F31" s="45"/>
    </row>
    <row r="32" spans="2:6" ht="14.25" customHeight="1">
      <c r="B32" s="46" t="s">
        <v>27</v>
      </c>
      <c r="C32" s="46"/>
      <c r="D32" s="46"/>
      <c r="E32" s="46"/>
      <c r="F32" s="46"/>
    </row>
    <row r="33" spans="2:6">
      <c r="B33" s="47" t="s">
        <v>28</v>
      </c>
      <c r="C33" s="47"/>
      <c r="D33" s="47"/>
      <c r="E33" s="47"/>
      <c r="F33" s="47"/>
    </row>
  </sheetData>
  <mergeCells count="13">
    <mergeCell ref="E3:F4"/>
    <mergeCell ref="B3:D3"/>
    <mergeCell ref="B2:D2"/>
    <mergeCell ref="E2:F2"/>
    <mergeCell ref="B21:F21"/>
    <mergeCell ref="B31:F31"/>
    <mergeCell ref="B32:F32"/>
    <mergeCell ref="B33:F33"/>
    <mergeCell ref="B22:F22"/>
    <mergeCell ref="B23:F23"/>
    <mergeCell ref="B24:F24"/>
    <mergeCell ref="B25:F25"/>
    <mergeCell ref="B26:F2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CC0B5-E2A0-4E21-9CDD-79996F6127FF}">
  <sheetPr codeName="Sheet2"/>
  <dimension ref="A1:D18"/>
  <sheetViews>
    <sheetView zoomScale="102" workbookViewId="0">
      <selection activeCell="H7" sqref="H7"/>
    </sheetView>
  </sheetViews>
  <sheetFormatPr defaultRowHeight="15"/>
  <cols>
    <col min="1" max="1" width="10.42578125" customWidth="1"/>
    <col min="2" max="2" width="23.85546875" bestFit="1" customWidth="1"/>
    <col min="3" max="3" width="12.85546875" bestFit="1" customWidth="1"/>
    <col min="4" max="4" width="14.42578125" bestFit="1" customWidth="1"/>
  </cols>
  <sheetData>
    <row r="1" spans="1:4" ht="23.25" customHeight="1">
      <c r="A1" s="20" t="s">
        <v>29</v>
      </c>
    </row>
    <row r="2" spans="1:4" ht="9" customHeight="1"/>
    <row r="3" spans="1:4" ht="30" customHeight="1">
      <c r="A3" s="21" t="s">
        <v>14</v>
      </c>
      <c r="B3" s="21" t="s">
        <v>30</v>
      </c>
      <c r="C3" s="21" t="s">
        <v>31</v>
      </c>
      <c r="D3" s="21" t="s">
        <v>32</v>
      </c>
    </row>
    <row r="4" spans="1:4">
      <c r="A4" s="22">
        <f>ROW(A2)-1</f>
        <v>1</v>
      </c>
      <c r="B4" s="23" t="s">
        <v>33</v>
      </c>
      <c r="C4" s="24">
        <v>6500000</v>
      </c>
      <c r="D4" s="24">
        <v>8200000</v>
      </c>
    </row>
    <row r="5" spans="1:4">
      <c r="A5" s="22">
        <f t="shared" ref="A5:A18" si="0">ROW(A3)-1</f>
        <v>2</v>
      </c>
      <c r="B5" s="23" t="s">
        <v>34</v>
      </c>
      <c r="C5" s="24">
        <v>180000</v>
      </c>
      <c r="D5" s="24">
        <v>280000</v>
      </c>
    </row>
    <row r="6" spans="1:4">
      <c r="A6" s="22">
        <f t="shared" si="0"/>
        <v>3</v>
      </c>
      <c r="B6" s="23" t="s">
        <v>35</v>
      </c>
      <c r="C6" s="24">
        <v>450000</v>
      </c>
      <c r="D6" s="24">
        <v>650000</v>
      </c>
    </row>
    <row r="7" spans="1:4">
      <c r="A7" s="22">
        <f t="shared" si="0"/>
        <v>4</v>
      </c>
      <c r="B7" s="23" t="s">
        <v>36</v>
      </c>
      <c r="C7" s="24">
        <v>1800000</v>
      </c>
      <c r="D7" s="24">
        <v>2500000</v>
      </c>
    </row>
    <row r="8" spans="1:4">
      <c r="A8" s="22">
        <f t="shared" si="0"/>
        <v>5</v>
      </c>
      <c r="B8" s="23" t="s">
        <v>37</v>
      </c>
      <c r="C8" s="24">
        <v>350000</v>
      </c>
      <c r="D8" s="24">
        <v>550000</v>
      </c>
    </row>
    <row r="9" spans="1:4">
      <c r="A9" s="22">
        <f t="shared" si="0"/>
        <v>6</v>
      </c>
      <c r="B9" s="23" t="s">
        <v>38</v>
      </c>
      <c r="C9" s="24">
        <v>85000</v>
      </c>
      <c r="D9" s="24">
        <v>150000</v>
      </c>
    </row>
    <row r="10" spans="1:4">
      <c r="A10" s="22">
        <f t="shared" si="0"/>
        <v>7</v>
      </c>
      <c r="B10" s="23" t="s">
        <v>39</v>
      </c>
      <c r="C10" s="24">
        <v>650000</v>
      </c>
      <c r="D10" s="24">
        <v>950000</v>
      </c>
    </row>
    <row r="11" spans="1:4">
      <c r="A11" s="22">
        <f t="shared" si="0"/>
        <v>8</v>
      </c>
      <c r="B11" s="23" t="s">
        <v>40</v>
      </c>
      <c r="C11" s="24">
        <v>280000</v>
      </c>
      <c r="D11" s="24">
        <v>450000</v>
      </c>
    </row>
    <row r="12" spans="1:4">
      <c r="A12" s="22">
        <f t="shared" si="0"/>
        <v>9</v>
      </c>
      <c r="B12" s="23" t="s">
        <v>41</v>
      </c>
      <c r="C12" s="24">
        <v>220000</v>
      </c>
      <c r="D12" s="24">
        <v>380000</v>
      </c>
    </row>
    <row r="13" spans="1:4">
      <c r="A13" s="22">
        <f t="shared" si="0"/>
        <v>10</v>
      </c>
      <c r="B13" s="23" t="s">
        <v>42</v>
      </c>
      <c r="C13" s="24">
        <v>95000</v>
      </c>
      <c r="D13" s="24">
        <v>180000</v>
      </c>
    </row>
    <row r="14" spans="1:4">
      <c r="A14" s="22">
        <f t="shared" si="0"/>
        <v>11</v>
      </c>
      <c r="B14" s="23" t="s">
        <v>43</v>
      </c>
      <c r="C14" s="24">
        <v>175000</v>
      </c>
      <c r="D14" s="24">
        <v>300000</v>
      </c>
    </row>
    <row r="15" spans="1:4">
      <c r="A15" s="22">
        <f>ROW(A13)-1</f>
        <v>12</v>
      </c>
      <c r="B15" s="23" t="s">
        <v>44</v>
      </c>
      <c r="C15" s="24">
        <v>120000</v>
      </c>
      <c r="D15" s="24">
        <v>220000</v>
      </c>
    </row>
    <row r="16" spans="1:4">
      <c r="A16" s="22">
        <f t="shared" si="0"/>
        <v>13</v>
      </c>
      <c r="B16" s="23" t="s">
        <v>45</v>
      </c>
      <c r="C16" s="24">
        <v>160000</v>
      </c>
      <c r="D16" s="24">
        <v>280000</v>
      </c>
    </row>
    <row r="17" spans="1:4">
      <c r="A17" s="22">
        <f t="shared" si="0"/>
        <v>14</v>
      </c>
      <c r="B17" s="23" t="s">
        <v>46</v>
      </c>
      <c r="C17" s="24">
        <v>75000</v>
      </c>
      <c r="D17" s="24">
        <v>140000</v>
      </c>
    </row>
    <row r="18" spans="1:4">
      <c r="A18" s="22">
        <f t="shared" si="0"/>
        <v>15</v>
      </c>
      <c r="B18" s="23" t="s">
        <v>47</v>
      </c>
      <c r="C18" s="24">
        <v>380000</v>
      </c>
      <c r="D18" s="24">
        <v>580000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CEFE4-FFAC-42C1-8086-8674B1C5E824}">
  <sheetPr codeName="Sheet3"/>
  <dimension ref="A1:U34"/>
  <sheetViews>
    <sheetView showGridLines="0" tabSelected="1" zoomScale="81" zoomScaleNormal="85" workbookViewId="0">
      <selection activeCell="M7" sqref="M7"/>
    </sheetView>
  </sheetViews>
  <sheetFormatPr defaultRowHeight="15.75"/>
  <cols>
    <col min="1" max="1" width="5.28515625" style="25" customWidth="1"/>
    <col min="2" max="2" width="5.5703125" style="25" customWidth="1"/>
    <col min="3" max="3" width="25.85546875" style="25" customWidth="1"/>
    <col min="4" max="4" width="18.42578125" style="25" customWidth="1"/>
    <col min="5" max="5" width="9.140625" style="25"/>
    <col min="6" max="6" width="18.42578125" style="25" customWidth="1"/>
    <col min="7" max="16384" width="9.140625" style="25"/>
  </cols>
  <sheetData>
    <row r="1" spans="1:21">
      <c r="A1" s="34"/>
      <c r="B1" s="34"/>
      <c r="C1" s="34"/>
      <c r="D1" s="34"/>
      <c r="E1" s="34"/>
      <c r="F1" s="34"/>
    </row>
    <row r="2" spans="1:21" ht="18">
      <c r="A2" s="34"/>
      <c r="B2" s="55" t="s">
        <v>48</v>
      </c>
      <c r="C2" s="55"/>
      <c r="D2" s="34" t="s">
        <v>63</v>
      </c>
      <c r="E2" s="34"/>
      <c r="F2" s="34"/>
    </row>
    <row r="3" spans="1:21" ht="5.25" customHeight="1">
      <c r="A3" s="34"/>
      <c r="B3" s="34"/>
      <c r="C3" s="34"/>
      <c r="D3" s="34"/>
      <c r="E3" s="34"/>
      <c r="F3" s="34"/>
    </row>
    <row r="4" spans="1:21" ht="18">
      <c r="A4" s="34"/>
      <c r="B4" s="55" t="s">
        <v>49</v>
      </c>
      <c r="C4" s="55"/>
      <c r="D4" s="34" t="s">
        <v>44</v>
      </c>
      <c r="E4" s="34"/>
      <c r="F4" s="34"/>
    </row>
    <row r="5" spans="1:21" ht="7.5" customHeight="1">
      <c r="A5" s="34"/>
      <c r="B5" s="34"/>
      <c r="C5" s="34"/>
      <c r="D5" s="34"/>
      <c r="E5" s="34"/>
      <c r="F5" s="34"/>
    </row>
    <row r="6" spans="1:21" ht="18">
      <c r="A6" s="34"/>
      <c r="B6" s="55" t="s">
        <v>50</v>
      </c>
      <c r="C6" s="55"/>
      <c r="D6" s="35">
        <v>2</v>
      </c>
      <c r="E6" s="34"/>
      <c r="F6" s="34"/>
    </row>
    <row r="7" spans="1:21">
      <c r="A7" s="34"/>
      <c r="B7" s="34"/>
      <c r="C7" s="34"/>
      <c r="D7" s="34"/>
      <c r="E7" s="34"/>
      <c r="F7" s="34"/>
    </row>
    <row r="9" spans="1:21" ht="18">
      <c r="B9" s="62" t="s">
        <v>64</v>
      </c>
      <c r="C9" s="62"/>
      <c r="D9" s="62"/>
      <c r="E9" s="62"/>
      <c r="F9" s="62"/>
      <c r="G9" s="62"/>
    </row>
    <row r="10" spans="1:21" ht="21" thickBot="1">
      <c r="B10" s="64" t="s">
        <v>65</v>
      </c>
      <c r="C10" s="64"/>
      <c r="D10" s="64"/>
      <c r="E10" s="64"/>
      <c r="F10" s="64"/>
      <c r="G10" s="64"/>
      <c r="N10" s="63"/>
      <c r="O10" s="63"/>
      <c r="P10" s="63"/>
      <c r="Q10" s="63"/>
      <c r="R10" s="63"/>
      <c r="S10" s="63"/>
      <c r="T10" s="63"/>
      <c r="U10" s="63"/>
    </row>
    <row r="11" spans="1:21" ht="21" thickTop="1">
      <c r="B11" s="41"/>
      <c r="C11" s="41"/>
      <c r="D11" s="41"/>
      <c r="E11" s="41"/>
      <c r="G11" s="41"/>
    </row>
    <row r="12" spans="1:21" ht="15" customHeight="1" thickBot="1">
      <c r="B12" s="42"/>
      <c r="C12" s="42"/>
      <c r="D12" s="42"/>
      <c r="E12" s="42"/>
      <c r="F12" s="42"/>
      <c r="G12" s="42"/>
    </row>
    <row r="13" spans="1:21" ht="16.5" thickTop="1">
      <c r="B13" s="58" t="s">
        <v>51</v>
      </c>
      <c r="C13" s="58"/>
      <c r="D13" s="33">
        <f ca="1">TODAY()</f>
        <v>46140</v>
      </c>
      <c r="F13" s="67" t="s">
        <v>68</v>
      </c>
      <c r="G13" s="67"/>
    </row>
    <row r="14" spans="1:21">
      <c r="B14" s="58" t="s">
        <v>52</v>
      </c>
      <c r="C14" s="58"/>
      <c r="D14" s="43" t="s">
        <v>63</v>
      </c>
      <c r="F14" s="68"/>
      <c r="G14" s="68"/>
    </row>
    <row r="15" spans="1:21" ht="10.5" customHeight="1">
      <c r="C15" s="25" t="s">
        <v>62</v>
      </c>
      <c r="E15" s="25" t="s">
        <v>62</v>
      </c>
      <c r="F15" s="69"/>
      <c r="G15" s="69"/>
      <c r="J15" s="25" t="s">
        <v>62</v>
      </c>
    </row>
    <row r="16" spans="1:21" ht="30" customHeight="1" thickBot="1">
      <c r="B16" s="36" t="s">
        <v>53</v>
      </c>
      <c r="C16" s="36" t="s">
        <v>30</v>
      </c>
      <c r="D16" s="36" t="s">
        <v>54</v>
      </c>
      <c r="E16" s="36" t="s">
        <v>55</v>
      </c>
      <c r="F16" s="36" t="s">
        <v>56</v>
      </c>
      <c r="G16" s="36" t="s">
        <v>57</v>
      </c>
    </row>
    <row r="17" spans="2:17" ht="24" customHeight="1" thickTop="1">
      <c r="B17" s="29">
        <v>1</v>
      </c>
      <c r="C17" s="25" t="s">
        <v>47</v>
      </c>
      <c r="D17" s="26">
        <v>580000</v>
      </c>
      <c r="E17" s="31">
        <v>1</v>
      </c>
      <c r="F17" s="26">
        <f t="shared" ref="F17:F25" si="0">IFERROR(D17*E17,"")</f>
        <v>580000</v>
      </c>
    </row>
    <row r="18" spans="2:17" ht="24" customHeight="1">
      <c r="B18" s="37">
        <v>2</v>
      </c>
      <c r="C18" s="38" t="s">
        <v>46</v>
      </c>
      <c r="D18" s="39">
        <v>140000</v>
      </c>
      <c r="E18" s="40">
        <v>2</v>
      </c>
      <c r="F18" s="39">
        <f t="shared" si="0"/>
        <v>280000</v>
      </c>
      <c r="G18" s="38"/>
    </row>
    <row r="19" spans="2:17" ht="24" customHeight="1">
      <c r="B19" s="29">
        <v>3</v>
      </c>
      <c r="C19" s="25" t="s">
        <v>43</v>
      </c>
      <c r="D19" s="26">
        <v>300000</v>
      </c>
      <c r="E19" s="31">
        <v>1</v>
      </c>
      <c r="F19" s="26">
        <f t="shared" si="0"/>
        <v>300000</v>
      </c>
    </row>
    <row r="20" spans="2:17" ht="24" customHeight="1">
      <c r="B20" s="37">
        <v>4</v>
      </c>
      <c r="C20" s="38" t="s">
        <v>44</v>
      </c>
      <c r="D20" s="39">
        <v>220000</v>
      </c>
      <c r="E20" s="40">
        <v>2</v>
      </c>
      <c r="F20" s="39">
        <f t="shared" si="0"/>
        <v>440000</v>
      </c>
      <c r="G20" s="38"/>
    </row>
    <row r="21" spans="2:17" ht="24" customHeight="1">
      <c r="B21" s="29" t="str">
        <f t="shared" ref="B21:B25" si="1">IF(C21="","",ROW()-14)</f>
        <v/>
      </c>
      <c r="D21" s="26" t="str">
        <f>IFERROR(VLOOKUP(TRIM(C21),'Data barang'!B9:B23,3,0),"")</f>
        <v/>
      </c>
      <c r="E21" s="31"/>
      <c r="F21" s="26" t="str">
        <f t="shared" si="0"/>
        <v/>
      </c>
    </row>
    <row r="22" spans="2:17" ht="24" customHeight="1">
      <c r="B22" s="37" t="str">
        <f t="shared" si="1"/>
        <v/>
      </c>
      <c r="C22" s="38"/>
      <c r="D22" s="39" t="str">
        <f>IFERROR(VLOOKUP(TRIM(C22),'Data barang'!B10:B24,3,0),"")</f>
        <v/>
      </c>
      <c r="E22" s="40"/>
      <c r="F22" s="39" t="str">
        <f t="shared" si="0"/>
        <v/>
      </c>
      <c r="G22" s="38"/>
    </row>
    <row r="23" spans="2:17" ht="24" customHeight="1">
      <c r="B23" s="29" t="str">
        <f t="shared" si="1"/>
        <v/>
      </c>
      <c r="D23" s="26" t="str">
        <f>IFERROR(VLOOKUP(TRIM(C23),'Data barang'!B11:B25,3,0),"")</f>
        <v/>
      </c>
      <c r="E23" s="31"/>
      <c r="F23" s="26" t="str">
        <f t="shared" si="0"/>
        <v/>
      </c>
    </row>
    <row r="24" spans="2:17" ht="24" customHeight="1">
      <c r="B24" s="37" t="str">
        <f t="shared" si="1"/>
        <v/>
      </c>
      <c r="C24" s="38"/>
      <c r="D24" s="39" t="str">
        <f>IFERROR(VLOOKUP(TRIM(C24),'Data barang'!B12:B26,3,0),"")</f>
        <v/>
      </c>
      <c r="E24" s="40"/>
      <c r="F24" s="39" t="str">
        <f t="shared" si="0"/>
        <v/>
      </c>
      <c r="G24" s="38"/>
    </row>
    <row r="25" spans="2:17" ht="24" customHeight="1" thickBot="1">
      <c r="B25" s="30" t="str">
        <f t="shared" si="1"/>
        <v/>
      </c>
      <c r="C25" s="27"/>
      <c r="D25" s="28" t="str">
        <f>IFERROR(VLOOKUP(TRIM(C25),'Data barang'!B13:B27,3,0),"")</f>
        <v/>
      </c>
      <c r="E25" s="32"/>
      <c r="F25" s="28" t="str">
        <f t="shared" si="0"/>
        <v/>
      </c>
      <c r="G25" s="27"/>
    </row>
    <row r="26" spans="2:17" ht="24" customHeight="1" thickBot="1">
      <c r="D26" s="59" t="s">
        <v>58</v>
      </c>
      <c r="E26" s="59"/>
      <c r="F26" s="44">
        <f>SUM(F17:F25)</f>
        <v>1600000</v>
      </c>
    </row>
    <row r="27" spans="2:17" ht="24" customHeight="1" thickTop="1">
      <c r="B27" s="57" t="s">
        <v>61</v>
      </c>
      <c r="C27" s="57"/>
      <c r="D27" s="60" t="str">
        <f>PROPER(Terbilang(F26)&amp;" Rupiah")</f>
        <v>Satu Juta Enam Ratus Ribu Rupiah</v>
      </c>
      <c r="E27" s="60"/>
      <c r="F27" s="60"/>
    </row>
    <row r="28" spans="2:17">
      <c r="B28" s="57"/>
      <c r="C28" s="57"/>
      <c r="D28" s="61"/>
      <c r="E28" s="61"/>
      <c r="F28" s="61"/>
    </row>
    <row r="29" spans="2:17" ht="28.5" customHeight="1">
      <c r="M29" s="66"/>
      <c r="N29" s="66"/>
      <c r="O29" s="66"/>
      <c r="P29" s="66"/>
      <c r="Q29" s="66"/>
    </row>
    <row r="30" spans="2:17">
      <c r="B30" s="56" t="s">
        <v>60</v>
      </c>
      <c r="C30" s="56"/>
      <c r="E30" s="56" t="s">
        <v>59</v>
      </c>
      <c r="F30" s="56"/>
      <c r="G30" s="56"/>
      <c r="M30" s="63"/>
      <c r="N30" s="63"/>
      <c r="O30" s="63"/>
      <c r="P30" s="63"/>
      <c r="Q30" s="63"/>
    </row>
    <row r="33" spans="2:7">
      <c r="C33" s="25" t="s">
        <v>66</v>
      </c>
      <c r="E33" s="56" t="str">
        <f>D2</f>
        <v>RACHEL</v>
      </c>
      <c r="F33" s="56"/>
      <c r="G33" s="56"/>
    </row>
    <row r="34" spans="2:7" ht="10.5" customHeight="1">
      <c r="B34" s="65" t="s">
        <v>67</v>
      </c>
      <c r="C34" s="65"/>
      <c r="D34" s="65"/>
      <c r="E34" s="65"/>
      <c r="F34" s="65"/>
      <c r="G34" s="65"/>
    </row>
  </sheetData>
  <mergeCells count="18">
    <mergeCell ref="N10:U10"/>
    <mergeCell ref="B10:G10"/>
    <mergeCell ref="B34:G34"/>
    <mergeCell ref="M29:Q29"/>
    <mergeCell ref="M30:Q30"/>
    <mergeCell ref="F13:G15"/>
    <mergeCell ref="B6:C6"/>
    <mergeCell ref="B4:C4"/>
    <mergeCell ref="B2:C2"/>
    <mergeCell ref="E33:G33"/>
    <mergeCell ref="B30:C30"/>
    <mergeCell ref="B27:C28"/>
    <mergeCell ref="B14:C14"/>
    <mergeCell ref="B13:C13"/>
    <mergeCell ref="D26:E26"/>
    <mergeCell ref="D27:F28"/>
    <mergeCell ref="E30:G30"/>
    <mergeCell ref="B9:G9"/>
  </mergeCells>
  <printOptions horizontalCentered="1"/>
  <pageMargins left="0.31496062992125984" right="0.31496062992125984" top="0.74803149606299213" bottom="0.74803149606299213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C654898-4AA1-4735-8A8E-6BA187B86D84}">
          <x14:formula1>
            <xm:f>'Data barang'!$B$4:$B$18</xm:f>
          </x14:formula1>
          <xm:sqref>D4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Invoice template</vt:lpstr>
      <vt:lpstr>Data barang</vt:lpstr>
      <vt:lpstr>Nota otomatis </vt:lpstr>
      <vt:lpstr>'Nota otomatis 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cp:lastPrinted>2026-04-26T06:22:50Z</cp:lastPrinted>
  <dcterms:created xsi:type="dcterms:W3CDTF">2015-06-05T18:17:20Z</dcterms:created>
  <dcterms:modified xsi:type="dcterms:W3CDTF">2026-04-28T10:37:32Z</dcterms:modified>
</cp:coreProperties>
</file>